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alle\Desktop\Projeto - Controle de Comissões SplitC\"/>
    </mc:Choice>
  </mc:AlternateContent>
  <xr:revisionPtr revIDLastSave="0" documentId="8_{BFC7CCEC-508D-4614-AFED-82286AED51E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Base de vendas" sheetId="1" r:id="rId1"/>
    <sheet name="Base de faturamento" sheetId="2" r:id="rId2"/>
    <sheet name="Dados" sheetId="3" r:id="rId3"/>
    <sheet name="Dashboard" sheetId="4" r:id="rId4"/>
    <sheet name="Fórmulas de Apoio" sheetId="5" state="hidden" r:id="rId5"/>
  </sheets>
  <definedNames>
    <definedName name="_xlnm._FilterDatabase" localSheetId="1" hidden="1">'Base de faturamento'!$A$1:$C$555</definedName>
    <definedName name="_xlnm._FilterDatabase" localSheetId="0" hidden="1">'Base de vendas'!$A$1:$O$602</definedName>
  </definedNames>
  <calcPr calcId="191029"/>
  <pivotCaches>
    <pivotCache cacheId="11" r:id="rId6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4" l="1"/>
  <c r="G12" i="1"/>
  <c r="N3" i="1"/>
  <c r="N4" i="1"/>
  <c r="N5" i="1"/>
  <c r="N6" i="1"/>
  <c r="N7" i="1"/>
  <c r="N8" i="1"/>
  <c r="N9" i="1"/>
  <c r="N10" i="1"/>
  <c r="N11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2" i="1"/>
  <c r="H5" i="5" a="1"/>
  <c r="D4" i="5" a="1"/>
  <c r="J602" i="1"/>
  <c r="G602" i="1"/>
  <c r="C602" i="1"/>
  <c r="J601" i="1"/>
  <c r="G601" i="1"/>
  <c r="C601" i="1"/>
  <c r="J600" i="1"/>
  <c r="G600" i="1"/>
  <c r="C600" i="1"/>
  <c r="J599" i="1"/>
  <c r="G599" i="1"/>
  <c r="C599" i="1"/>
  <c r="J598" i="1"/>
  <c r="G598" i="1"/>
  <c r="C598" i="1"/>
  <c r="J597" i="1"/>
  <c r="G597" i="1"/>
  <c r="C597" i="1"/>
  <c r="M596" i="1"/>
  <c r="J596" i="1"/>
  <c r="G596" i="1"/>
  <c r="C596" i="1"/>
  <c r="J595" i="1"/>
  <c r="G595" i="1"/>
  <c r="C595" i="1"/>
  <c r="J594" i="1"/>
  <c r="G594" i="1"/>
  <c r="C594" i="1"/>
  <c r="J593" i="1"/>
  <c r="G593" i="1"/>
  <c r="C593" i="1"/>
  <c r="J592" i="1"/>
  <c r="G592" i="1"/>
  <c r="C592" i="1"/>
  <c r="J591" i="1"/>
  <c r="G591" i="1"/>
  <c r="C591" i="1"/>
  <c r="J590" i="1"/>
  <c r="G590" i="1"/>
  <c r="C590" i="1"/>
  <c r="J589" i="1"/>
  <c r="G589" i="1"/>
  <c r="C589" i="1"/>
  <c r="J588" i="1"/>
  <c r="G588" i="1"/>
  <c r="C588" i="1"/>
  <c r="J587" i="1"/>
  <c r="G587" i="1"/>
  <c r="C587" i="1"/>
  <c r="J586" i="1"/>
  <c r="G586" i="1"/>
  <c r="C586" i="1"/>
  <c r="J585" i="1"/>
  <c r="G585" i="1"/>
  <c r="C585" i="1"/>
  <c r="J584" i="1"/>
  <c r="G584" i="1"/>
  <c r="C584" i="1"/>
  <c r="J583" i="1"/>
  <c r="G583" i="1"/>
  <c r="C583" i="1"/>
  <c r="J582" i="1"/>
  <c r="G582" i="1"/>
  <c r="C582" i="1"/>
  <c r="J581" i="1"/>
  <c r="G581" i="1"/>
  <c r="C581" i="1"/>
  <c r="J580" i="1"/>
  <c r="G580" i="1"/>
  <c r="C580" i="1"/>
  <c r="J579" i="1"/>
  <c r="G579" i="1"/>
  <c r="C579" i="1"/>
  <c r="J578" i="1"/>
  <c r="G578" i="1"/>
  <c r="C578" i="1"/>
  <c r="J577" i="1"/>
  <c r="G577" i="1"/>
  <c r="C577" i="1"/>
  <c r="J576" i="1"/>
  <c r="G576" i="1"/>
  <c r="C576" i="1"/>
  <c r="J575" i="1"/>
  <c r="G575" i="1"/>
  <c r="C575" i="1"/>
  <c r="J574" i="1"/>
  <c r="G574" i="1"/>
  <c r="C574" i="1"/>
  <c r="J573" i="1"/>
  <c r="G573" i="1"/>
  <c r="C573" i="1"/>
  <c r="J572" i="1"/>
  <c r="G572" i="1"/>
  <c r="C572" i="1"/>
  <c r="J571" i="1"/>
  <c r="G571" i="1"/>
  <c r="C571" i="1"/>
  <c r="J570" i="1"/>
  <c r="G570" i="1"/>
  <c r="C570" i="1"/>
  <c r="J569" i="1"/>
  <c r="G569" i="1"/>
  <c r="C569" i="1"/>
  <c r="J568" i="1"/>
  <c r="G568" i="1"/>
  <c r="C568" i="1"/>
  <c r="J567" i="1"/>
  <c r="G567" i="1"/>
  <c r="C567" i="1"/>
  <c r="J566" i="1"/>
  <c r="G566" i="1"/>
  <c r="C566" i="1"/>
  <c r="J565" i="1"/>
  <c r="G565" i="1"/>
  <c r="C565" i="1"/>
  <c r="J564" i="1"/>
  <c r="G564" i="1"/>
  <c r="C564" i="1"/>
  <c r="J563" i="1"/>
  <c r="G563" i="1"/>
  <c r="C563" i="1"/>
  <c r="J562" i="1"/>
  <c r="G562" i="1"/>
  <c r="C562" i="1"/>
  <c r="J561" i="1"/>
  <c r="G561" i="1"/>
  <c r="C561" i="1"/>
  <c r="J560" i="1"/>
  <c r="G560" i="1"/>
  <c r="C560" i="1"/>
  <c r="J559" i="1"/>
  <c r="G559" i="1"/>
  <c r="C559" i="1"/>
  <c r="J558" i="1"/>
  <c r="G558" i="1"/>
  <c r="C558" i="1"/>
  <c r="J557" i="1"/>
  <c r="G557" i="1"/>
  <c r="C557" i="1"/>
  <c r="J556" i="1"/>
  <c r="G556" i="1"/>
  <c r="C556" i="1"/>
  <c r="J555" i="1"/>
  <c r="G555" i="1"/>
  <c r="C555" i="1"/>
  <c r="J554" i="1"/>
  <c r="G554" i="1"/>
  <c r="C554" i="1"/>
  <c r="J553" i="1"/>
  <c r="G553" i="1"/>
  <c r="C553" i="1"/>
  <c r="J552" i="1"/>
  <c r="G552" i="1"/>
  <c r="C552" i="1"/>
  <c r="J551" i="1"/>
  <c r="G551" i="1"/>
  <c r="C551" i="1"/>
  <c r="J550" i="1"/>
  <c r="G550" i="1"/>
  <c r="C550" i="1"/>
  <c r="J549" i="1"/>
  <c r="G549" i="1"/>
  <c r="C549" i="1"/>
  <c r="J548" i="1"/>
  <c r="G548" i="1"/>
  <c r="C548" i="1"/>
  <c r="J547" i="1"/>
  <c r="G547" i="1"/>
  <c r="C547" i="1"/>
  <c r="J546" i="1"/>
  <c r="G546" i="1"/>
  <c r="C546" i="1"/>
  <c r="J545" i="1"/>
  <c r="G545" i="1"/>
  <c r="C545" i="1"/>
  <c r="J544" i="1"/>
  <c r="G544" i="1"/>
  <c r="C544" i="1"/>
  <c r="J543" i="1"/>
  <c r="G543" i="1"/>
  <c r="C543" i="1"/>
  <c r="J542" i="1"/>
  <c r="G542" i="1"/>
  <c r="C542" i="1"/>
  <c r="J541" i="1"/>
  <c r="G541" i="1"/>
  <c r="C541" i="1"/>
  <c r="J540" i="1"/>
  <c r="G540" i="1"/>
  <c r="C540" i="1"/>
  <c r="J539" i="1"/>
  <c r="G539" i="1"/>
  <c r="C539" i="1"/>
  <c r="J538" i="1"/>
  <c r="G538" i="1"/>
  <c r="C538" i="1"/>
  <c r="J537" i="1"/>
  <c r="G537" i="1"/>
  <c r="C537" i="1"/>
  <c r="J536" i="1"/>
  <c r="G536" i="1"/>
  <c r="C536" i="1"/>
  <c r="J535" i="1"/>
  <c r="G535" i="1"/>
  <c r="C535" i="1"/>
  <c r="J534" i="1"/>
  <c r="G534" i="1"/>
  <c r="C534" i="1"/>
  <c r="J533" i="1"/>
  <c r="G533" i="1"/>
  <c r="C533" i="1"/>
  <c r="J532" i="1"/>
  <c r="G532" i="1"/>
  <c r="C532" i="1"/>
  <c r="J531" i="1"/>
  <c r="G531" i="1"/>
  <c r="C531" i="1"/>
  <c r="J530" i="1"/>
  <c r="G530" i="1"/>
  <c r="C530" i="1"/>
  <c r="J529" i="1"/>
  <c r="G529" i="1"/>
  <c r="C529" i="1"/>
  <c r="J528" i="1"/>
  <c r="G528" i="1"/>
  <c r="C528" i="1"/>
  <c r="J527" i="1"/>
  <c r="G527" i="1"/>
  <c r="C527" i="1"/>
  <c r="J526" i="1"/>
  <c r="G526" i="1"/>
  <c r="C526" i="1"/>
  <c r="J525" i="1"/>
  <c r="G525" i="1"/>
  <c r="C525" i="1"/>
  <c r="J524" i="1"/>
  <c r="G524" i="1"/>
  <c r="C524" i="1"/>
  <c r="J523" i="1"/>
  <c r="G523" i="1"/>
  <c r="C523" i="1"/>
  <c r="J522" i="1"/>
  <c r="G522" i="1"/>
  <c r="C522" i="1"/>
  <c r="J521" i="1"/>
  <c r="G521" i="1"/>
  <c r="C521" i="1"/>
  <c r="J520" i="1"/>
  <c r="G520" i="1"/>
  <c r="C520" i="1"/>
  <c r="J519" i="1"/>
  <c r="G519" i="1"/>
  <c r="C519" i="1"/>
  <c r="J518" i="1"/>
  <c r="G518" i="1"/>
  <c r="C518" i="1"/>
  <c r="J517" i="1"/>
  <c r="G517" i="1"/>
  <c r="C517" i="1"/>
  <c r="J516" i="1"/>
  <c r="G516" i="1"/>
  <c r="C516" i="1"/>
  <c r="J515" i="1"/>
  <c r="G515" i="1"/>
  <c r="C515" i="1"/>
  <c r="J514" i="1"/>
  <c r="G514" i="1"/>
  <c r="C514" i="1"/>
  <c r="J513" i="1"/>
  <c r="G513" i="1"/>
  <c r="C513" i="1"/>
  <c r="J512" i="1"/>
  <c r="G512" i="1"/>
  <c r="C512" i="1"/>
  <c r="J511" i="1"/>
  <c r="G511" i="1"/>
  <c r="C511" i="1"/>
  <c r="J510" i="1"/>
  <c r="G510" i="1"/>
  <c r="C510" i="1"/>
  <c r="J509" i="1"/>
  <c r="G509" i="1"/>
  <c r="C509" i="1"/>
  <c r="J508" i="1"/>
  <c r="G508" i="1"/>
  <c r="C508" i="1"/>
  <c r="J507" i="1"/>
  <c r="G507" i="1"/>
  <c r="C507" i="1"/>
  <c r="J506" i="1"/>
  <c r="G506" i="1"/>
  <c r="C506" i="1"/>
  <c r="J505" i="1"/>
  <c r="G505" i="1"/>
  <c r="C505" i="1"/>
  <c r="J504" i="1"/>
  <c r="G504" i="1"/>
  <c r="C504" i="1"/>
  <c r="J503" i="1"/>
  <c r="G503" i="1"/>
  <c r="C503" i="1"/>
  <c r="J502" i="1"/>
  <c r="G502" i="1"/>
  <c r="C502" i="1"/>
  <c r="J501" i="1"/>
  <c r="G501" i="1"/>
  <c r="C501" i="1"/>
  <c r="J500" i="1"/>
  <c r="G500" i="1"/>
  <c r="C500" i="1"/>
  <c r="J499" i="1"/>
  <c r="G499" i="1"/>
  <c r="C499" i="1"/>
  <c r="J498" i="1"/>
  <c r="G498" i="1"/>
  <c r="C498" i="1"/>
  <c r="J497" i="1"/>
  <c r="G497" i="1"/>
  <c r="C497" i="1"/>
  <c r="J496" i="1"/>
  <c r="G496" i="1"/>
  <c r="C496" i="1"/>
  <c r="J495" i="1"/>
  <c r="G495" i="1"/>
  <c r="C495" i="1"/>
  <c r="J494" i="1"/>
  <c r="G494" i="1"/>
  <c r="C494" i="1"/>
  <c r="J493" i="1"/>
  <c r="G493" i="1"/>
  <c r="C493" i="1"/>
  <c r="J492" i="1"/>
  <c r="G492" i="1"/>
  <c r="C492" i="1"/>
  <c r="J491" i="1"/>
  <c r="G491" i="1"/>
  <c r="C491" i="1"/>
  <c r="J490" i="1"/>
  <c r="G490" i="1"/>
  <c r="C490" i="1"/>
  <c r="J489" i="1"/>
  <c r="G489" i="1"/>
  <c r="C489" i="1"/>
  <c r="J488" i="1"/>
  <c r="G488" i="1"/>
  <c r="C488" i="1"/>
  <c r="J487" i="1"/>
  <c r="G487" i="1"/>
  <c r="C487" i="1"/>
  <c r="J486" i="1"/>
  <c r="G486" i="1"/>
  <c r="C486" i="1"/>
  <c r="J485" i="1"/>
  <c r="G485" i="1"/>
  <c r="C485" i="1"/>
  <c r="J484" i="1"/>
  <c r="G484" i="1"/>
  <c r="C484" i="1"/>
  <c r="J483" i="1"/>
  <c r="G483" i="1"/>
  <c r="C483" i="1"/>
  <c r="J482" i="1"/>
  <c r="G482" i="1"/>
  <c r="C482" i="1"/>
  <c r="J481" i="1"/>
  <c r="G481" i="1"/>
  <c r="C481" i="1"/>
  <c r="J480" i="1"/>
  <c r="G480" i="1"/>
  <c r="C480" i="1"/>
  <c r="J479" i="1"/>
  <c r="G479" i="1"/>
  <c r="C479" i="1"/>
  <c r="J478" i="1"/>
  <c r="G478" i="1"/>
  <c r="C478" i="1"/>
  <c r="J477" i="1"/>
  <c r="G477" i="1"/>
  <c r="C477" i="1"/>
  <c r="J476" i="1"/>
  <c r="G476" i="1"/>
  <c r="C476" i="1"/>
  <c r="J475" i="1"/>
  <c r="G475" i="1"/>
  <c r="C475" i="1"/>
  <c r="J474" i="1"/>
  <c r="G474" i="1"/>
  <c r="C474" i="1"/>
  <c r="J473" i="1"/>
  <c r="G473" i="1"/>
  <c r="C473" i="1"/>
  <c r="J472" i="1"/>
  <c r="G472" i="1"/>
  <c r="C472" i="1"/>
  <c r="J471" i="1"/>
  <c r="G471" i="1"/>
  <c r="C471" i="1"/>
  <c r="J470" i="1"/>
  <c r="G470" i="1"/>
  <c r="C470" i="1"/>
  <c r="J469" i="1"/>
  <c r="G469" i="1"/>
  <c r="C469" i="1"/>
  <c r="J468" i="1"/>
  <c r="G468" i="1"/>
  <c r="C468" i="1"/>
  <c r="J467" i="1"/>
  <c r="G467" i="1"/>
  <c r="C467" i="1"/>
  <c r="J466" i="1"/>
  <c r="G466" i="1"/>
  <c r="C466" i="1"/>
  <c r="J465" i="1"/>
  <c r="G465" i="1"/>
  <c r="C465" i="1"/>
  <c r="J464" i="1"/>
  <c r="G464" i="1"/>
  <c r="C464" i="1"/>
  <c r="J463" i="1"/>
  <c r="G463" i="1"/>
  <c r="C463" i="1"/>
  <c r="J462" i="1"/>
  <c r="G462" i="1"/>
  <c r="C462" i="1"/>
  <c r="J461" i="1"/>
  <c r="G461" i="1"/>
  <c r="C461" i="1"/>
  <c r="J460" i="1"/>
  <c r="G460" i="1"/>
  <c r="C460" i="1"/>
  <c r="J459" i="1"/>
  <c r="G459" i="1"/>
  <c r="C459" i="1"/>
  <c r="J458" i="1"/>
  <c r="G458" i="1"/>
  <c r="C458" i="1"/>
  <c r="J457" i="1"/>
  <c r="G457" i="1"/>
  <c r="C457" i="1"/>
  <c r="J456" i="1"/>
  <c r="G456" i="1"/>
  <c r="C456" i="1"/>
  <c r="J455" i="1"/>
  <c r="G455" i="1"/>
  <c r="C455" i="1"/>
  <c r="J454" i="1"/>
  <c r="G454" i="1"/>
  <c r="C454" i="1"/>
  <c r="J453" i="1"/>
  <c r="G453" i="1"/>
  <c r="C453" i="1"/>
  <c r="J452" i="1"/>
  <c r="G452" i="1"/>
  <c r="C452" i="1"/>
  <c r="J451" i="1"/>
  <c r="G451" i="1"/>
  <c r="C451" i="1"/>
  <c r="J450" i="1"/>
  <c r="G450" i="1"/>
  <c r="C450" i="1"/>
  <c r="J449" i="1"/>
  <c r="G449" i="1"/>
  <c r="C449" i="1"/>
  <c r="J448" i="1"/>
  <c r="G448" i="1"/>
  <c r="C448" i="1"/>
  <c r="J447" i="1"/>
  <c r="G447" i="1"/>
  <c r="C447" i="1"/>
  <c r="J446" i="1"/>
  <c r="G446" i="1"/>
  <c r="C446" i="1"/>
  <c r="J445" i="1"/>
  <c r="G445" i="1"/>
  <c r="C445" i="1"/>
  <c r="J444" i="1"/>
  <c r="G444" i="1"/>
  <c r="C444" i="1"/>
  <c r="J443" i="1"/>
  <c r="G443" i="1"/>
  <c r="C443" i="1"/>
  <c r="J442" i="1"/>
  <c r="G442" i="1"/>
  <c r="C442" i="1"/>
  <c r="J441" i="1"/>
  <c r="G441" i="1"/>
  <c r="C441" i="1"/>
  <c r="J440" i="1"/>
  <c r="G440" i="1"/>
  <c r="C440" i="1"/>
  <c r="J439" i="1"/>
  <c r="G439" i="1"/>
  <c r="C439" i="1"/>
  <c r="J438" i="1"/>
  <c r="G438" i="1"/>
  <c r="C438" i="1"/>
  <c r="J437" i="1"/>
  <c r="G437" i="1"/>
  <c r="C437" i="1"/>
  <c r="J436" i="1"/>
  <c r="G436" i="1"/>
  <c r="C436" i="1"/>
  <c r="J435" i="1"/>
  <c r="G435" i="1"/>
  <c r="C435" i="1"/>
  <c r="J434" i="1"/>
  <c r="G434" i="1"/>
  <c r="C434" i="1"/>
  <c r="J433" i="1"/>
  <c r="G433" i="1"/>
  <c r="C433" i="1"/>
  <c r="J432" i="1"/>
  <c r="G432" i="1"/>
  <c r="C432" i="1"/>
  <c r="J431" i="1"/>
  <c r="G431" i="1"/>
  <c r="C431" i="1"/>
  <c r="J430" i="1"/>
  <c r="G430" i="1"/>
  <c r="C430" i="1"/>
  <c r="J429" i="1"/>
  <c r="G429" i="1"/>
  <c r="C429" i="1"/>
  <c r="J428" i="1"/>
  <c r="G428" i="1"/>
  <c r="C428" i="1"/>
  <c r="J427" i="1"/>
  <c r="G427" i="1"/>
  <c r="C427" i="1"/>
  <c r="J426" i="1"/>
  <c r="G426" i="1"/>
  <c r="C426" i="1"/>
  <c r="J425" i="1"/>
  <c r="G425" i="1"/>
  <c r="C425" i="1"/>
  <c r="J424" i="1"/>
  <c r="G424" i="1"/>
  <c r="C424" i="1"/>
  <c r="J423" i="1"/>
  <c r="G423" i="1"/>
  <c r="C423" i="1"/>
  <c r="J422" i="1"/>
  <c r="G422" i="1"/>
  <c r="C422" i="1"/>
  <c r="J421" i="1"/>
  <c r="G421" i="1"/>
  <c r="C421" i="1"/>
  <c r="J420" i="1"/>
  <c r="G420" i="1"/>
  <c r="C420" i="1"/>
  <c r="J419" i="1"/>
  <c r="G419" i="1"/>
  <c r="C419" i="1"/>
  <c r="M418" i="1"/>
  <c r="L418" i="1"/>
  <c r="J418" i="1"/>
  <c r="G418" i="1"/>
  <c r="C418" i="1"/>
  <c r="J417" i="1"/>
  <c r="G417" i="1"/>
  <c r="C417" i="1"/>
  <c r="J416" i="1"/>
  <c r="G416" i="1"/>
  <c r="C416" i="1"/>
  <c r="J415" i="1"/>
  <c r="G415" i="1"/>
  <c r="C415" i="1"/>
  <c r="J414" i="1"/>
  <c r="G414" i="1"/>
  <c r="C414" i="1"/>
  <c r="J413" i="1"/>
  <c r="G413" i="1"/>
  <c r="C413" i="1"/>
  <c r="J412" i="1"/>
  <c r="G412" i="1"/>
  <c r="C412" i="1"/>
  <c r="J411" i="1"/>
  <c r="G411" i="1"/>
  <c r="C411" i="1"/>
  <c r="J410" i="1"/>
  <c r="G410" i="1"/>
  <c r="C410" i="1"/>
  <c r="J409" i="1"/>
  <c r="G409" i="1"/>
  <c r="C409" i="1"/>
  <c r="J408" i="1"/>
  <c r="G408" i="1"/>
  <c r="C408" i="1"/>
  <c r="J407" i="1"/>
  <c r="G407" i="1"/>
  <c r="C407" i="1"/>
  <c r="J406" i="1"/>
  <c r="G406" i="1"/>
  <c r="C406" i="1"/>
  <c r="J405" i="1"/>
  <c r="G405" i="1"/>
  <c r="C405" i="1"/>
  <c r="J404" i="1"/>
  <c r="G404" i="1"/>
  <c r="C404" i="1"/>
  <c r="J403" i="1"/>
  <c r="G403" i="1"/>
  <c r="C403" i="1"/>
  <c r="J402" i="1"/>
  <c r="G402" i="1"/>
  <c r="C402" i="1"/>
  <c r="J401" i="1"/>
  <c r="G401" i="1"/>
  <c r="C401" i="1"/>
  <c r="J400" i="1"/>
  <c r="G400" i="1"/>
  <c r="C400" i="1"/>
  <c r="J399" i="1"/>
  <c r="G399" i="1"/>
  <c r="C399" i="1"/>
  <c r="J398" i="1"/>
  <c r="G398" i="1"/>
  <c r="C398" i="1"/>
  <c r="J397" i="1"/>
  <c r="G397" i="1"/>
  <c r="C397" i="1"/>
  <c r="J396" i="1"/>
  <c r="G396" i="1"/>
  <c r="C396" i="1"/>
  <c r="J395" i="1"/>
  <c r="G395" i="1"/>
  <c r="C395" i="1"/>
  <c r="J394" i="1"/>
  <c r="G394" i="1"/>
  <c r="C394" i="1"/>
  <c r="J393" i="1"/>
  <c r="G393" i="1"/>
  <c r="C393" i="1"/>
  <c r="J392" i="1"/>
  <c r="G392" i="1"/>
  <c r="C392" i="1"/>
  <c r="J391" i="1"/>
  <c r="G391" i="1"/>
  <c r="C391" i="1"/>
  <c r="J390" i="1"/>
  <c r="G390" i="1"/>
  <c r="C390" i="1"/>
  <c r="J389" i="1"/>
  <c r="G389" i="1"/>
  <c r="C389" i="1"/>
  <c r="J388" i="1"/>
  <c r="G388" i="1"/>
  <c r="C388" i="1"/>
  <c r="J387" i="1"/>
  <c r="G387" i="1"/>
  <c r="C387" i="1"/>
  <c r="J386" i="1"/>
  <c r="G386" i="1"/>
  <c r="C386" i="1"/>
  <c r="J385" i="1"/>
  <c r="G385" i="1"/>
  <c r="C385" i="1"/>
  <c r="J384" i="1"/>
  <c r="G384" i="1"/>
  <c r="C384" i="1"/>
  <c r="J383" i="1"/>
  <c r="G383" i="1"/>
  <c r="C383" i="1"/>
  <c r="J382" i="1"/>
  <c r="G382" i="1"/>
  <c r="C382" i="1"/>
  <c r="J381" i="1"/>
  <c r="G381" i="1"/>
  <c r="C381" i="1"/>
  <c r="J380" i="1"/>
  <c r="G380" i="1"/>
  <c r="C380" i="1"/>
  <c r="J379" i="1"/>
  <c r="G379" i="1"/>
  <c r="C379" i="1"/>
  <c r="J378" i="1"/>
  <c r="G378" i="1"/>
  <c r="C378" i="1"/>
  <c r="J377" i="1"/>
  <c r="G377" i="1"/>
  <c r="C377" i="1"/>
  <c r="J376" i="1"/>
  <c r="G376" i="1"/>
  <c r="C376" i="1"/>
  <c r="J375" i="1"/>
  <c r="G375" i="1"/>
  <c r="C375" i="1"/>
  <c r="J374" i="1"/>
  <c r="G374" i="1"/>
  <c r="C374" i="1"/>
  <c r="J373" i="1"/>
  <c r="G373" i="1"/>
  <c r="C373" i="1"/>
  <c r="J372" i="1"/>
  <c r="G372" i="1"/>
  <c r="C372" i="1"/>
  <c r="J371" i="1"/>
  <c r="G371" i="1"/>
  <c r="C371" i="1"/>
  <c r="J370" i="1"/>
  <c r="G370" i="1"/>
  <c r="C370" i="1"/>
  <c r="J369" i="1"/>
  <c r="G369" i="1"/>
  <c r="C369" i="1"/>
  <c r="J368" i="1"/>
  <c r="G368" i="1"/>
  <c r="C368" i="1"/>
  <c r="J367" i="1"/>
  <c r="G367" i="1"/>
  <c r="C367" i="1"/>
  <c r="J366" i="1"/>
  <c r="G366" i="1"/>
  <c r="C366" i="1"/>
  <c r="J365" i="1"/>
  <c r="G365" i="1"/>
  <c r="C365" i="1"/>
  <c r="J364" i="1"/>
  <c r="G364" i="1"/>
  <c r="C364" i="1"/>
  <c r="J363" i="1"/>
  <c r="G363" i="1"/>
  <c r="C363" i="1"/>
  <c r="J362" i="1"/>
  <c r="G362" i="1"/>
  <c r="C362" i="1"/>
  <c r="J361" i="1"/>
  <c r="G361" i="1"/>
  <c r="C361" i="1"/>
  <c r="J360" i="1"/>
  <c r="G360" i="1"/>
  <c r="C360" i="1"/>
  <c r="J359" i="1"/>
  <c r="G359" i="1"/>
  <c r="C359" i="1"/>
  <c r="J358" i="1"/>
  <c r="G358" i="1"/>
  <c r="C358" i="1"/>
  <c r="J357" i="1"/>
  <c r="G357" i="1"/>
  <c r="C357" i="1"/>
  <c r="J356" i="1"/>
  <c r="G356" i="1"/>
  <c r="C356" i="1"/>
  <c r="J355" i="1"/>
  <c r="G355" i="1"/>
  <c r="C355" i="1"/>
  <c r="J354" i="1"/>
  <c r="G354" i="1"/>
  <c r="C354" i="1"/>
  <c r="J353" i="1"/>
  <c r="G353" i="1"/>
  <c r="C353" i="1"/>
  <c r="J352" i="1"/>
  <c r="G352" i="1"/>
  <c r="C352" i="1"/>
  <c r="J351" i="1"/>
  <c r="G351" i="1"/>
  <c r="C351" i="1"/>
  <c r="J350" i="1"/>
  <c r="G350" i="1"/>
  <c r="C350" i="1"/>
  <c r="J349" i="1"/>
  <c r="G349" i="1"/>
  <c r="C349" i="1"/>
  <c r="J348" i="1"/>
  <c r="G348" i="1"/>
  <c r="C348" i="1"/>
  <c r="J347" i="1"/>
  <c r="G347" i="1"/>
  <c r="C347" i="1"/>
  <c r="J346" i="1"/>
  <c r="G346" i="1"/>
  <c r="C346" i="1"/>
  <c r="J345" i="1"/>
  <c r="G345" i="1"/>
  <c r="C345" i="1"/>
  <c r="J344" i="1"/>
  <c r="G344" i="1"/>
  <c r="C344" i="1"/>
  <c r="J343" i="1"/>
  <c r="G343" i="1"/>
  <c r="C343" i="1"/>
  <c r="J342" i="1"/>
  <c r="G342" i="1"/>
  <c r="C342" i="1"/>
  <c r="J341" i="1"/>
  <c r="G341" i="1"/>
  <c r="C341" i="1"/>
  <c r="J340" i="1"/>
  <c r="G340" i="1"/>
  <c r="C340" i="1"/>
  <c r="J339" i="1"/>
  <c r="G339" i="1"/>
  <c r="C339" i="1"/>
  <c r="J338" i="1"/>
  <c r="G338" i="1"/>
  <c r="C338" i="1"/>
  <c r="J337" i="1"/>
  <c r="G337" i="1"/>
  <c r="C337" i="1"/>
  <c r="J336" i="1"/>
  <c r="G336" i="1"/>
  <c r="C336" i="1"/>
  <c r="J335" i="1"/>
  <c r="G335" i="1"/>
  <c r="C335" i="1"/>
  <c r="J334" i="1"/>
  <c r="G334" i="1"/>
  <c r="C334" i="1"/>
  <c r="J333" i="1"/>
  <c r="G333" i="1"/>
  <c r="C333" i="1"/>
  <c r="J332" i="1"/>
  <c r="G332" i="1"/>
  <c r="C332" i="1"/>
  <c r="J331" i="1"/>
  <c r="G331" i="1"/>
  <c r="C331" i="1"/>
  <c r="J330" i="1"/>
  <c r="G330" i="1"/>
  <c r="C330" i="1"/>
  <c r="J329" i="1"/>
  <c r="G329" i="1"/>
  <c r="C329" i="1"/>
  <c r="J328" i="1"/>
  <c r="G328" i="1"/>
  <c r="C328" i="1"/>
  <c r="J327" i="1"/>
  <c r="G327" i="1"/>
  <c r="C327" i="1"/>
  <c r="J326" i="1"/>
  <c r="G326" i="1"/>
  <c r="C326" i="1"/>
  <c r="J325" i="1"/>
  <c r="G325" i="1"/>
  <c r="C325" i="1"/>
  <c r="J324" i="1"/>
  <c r="G324" i="1"/>
  <c r="C324" i="1"/>
  <c r="J323" i="1"/>
  <c r="G323" i="1"/>
  <c r="C323" i="1"/>
  <c r="J322" i="1"/>
  <c r="G322" i="1"/>
  <c r="C322" i="1"/>
  <c r="J321" i="1"/>
  <c r="G321" i="1"/>
  <c r="C321" i="1"/>
  <c r="J320" i="1"/>
  <c r="G320" i="1"/>
  <c r="C320" i="1"/>
  <c r="J319" i="1"/>
  <c r="G319" i="1"/>
  <c r="C319" i="1"/>
  <c r="J318" i="1"/>
  <c r="G318" i="1"/>
  <c r="C318" i="1"/>
  <c r="J317" i="1"/>
  <c r="G317" i="1"/>
  <c r="C317" i="1"/>
  <c r="J316" i="1"/>
  <c r="G316" i="1"/>
  <c r="C316" i="1"/>
  <c r="J315" i="1"/>
  <c r="G315" i="1"/>
  <c r="C315" i="1"/>
  <c r="J314" i="1"/>
  <c r="G314" i="1"/>
  <c r="C314" i="1"/>
  <c r="J313" i="1"/>
  <c r="G313" i="1"/>
  <c r="C313" i="1"/>
  <c r="J312" i="1"/>
  <c r="G312" i="1"/>
  <c r="C312" i="1"/>
  <c r="J311" i="1"/>
  <c r="G311" i="1"/>
  <c r="C311" i="1"/>
  <c r="J310" i="1"/>
  <c r="G310" i="1"/>
  <c r="C310" i="1"/>
  <c r="J309" i="1"/>
  <c r="G309" i="1"/>
  <c r="C309" i="1"/>
  <c r="J308" i="1"/>
  <c r="G308" i="1"/>
  <c r="C308" i="1"/>
  <c r="J307" i="1"/>
  <c r="G307" i="1"/>
  <c r="C307" i="1"/>
  <c r="J306" i="1"/>
  <c r="G306" i="1"/>
  <c r="C306" i="1"/>
  <c r="J305" i="1"/>
  <c r="G305" i="1"/>
  <c r="C305" i="1"/>
  <c r="J304" i="1"/>
  <c r="G304" i="1"/>
  <c r="C304" i="1"/>
  <c r="J303" i="1"/>
  <c r="G303" i="1"/>
  <c r="C303" i="1"/>
  <c r="J302" i="1"/>
  <c r="G302" i="1"/>
  <c r="C302" i="1"/>
  <c r="J301" i="1"/>
  <c r="G301" i="1"/>
  <c r="C301" i="1"/>
  <c r="J300" i="1"/>
  <c r="G300" i="1"/>
  <c r="C300" i="1"/>
  <c r="M299" i="1"/>
  <c r="L299" i="1"/>
  <c r="K299" i="1"/>
  <c r="J299" i="1"/>
  <c r="G299" i="1"/>
  <c r="C299" i="1"/>
  <c r="J298" i="1"/>
  <c r="G298" i="1"/>
  <c r="C298" i="1"/>
  <c r="J297" i="1"/>
  <c r="G297" i="1"/>
  <c r="C297" i="1"/>
  <c r="J296" i="1"/>
  <c r="G296" i="1"/>
  <c r="C296" i="1"/>
  <c r="J295" i="1"/>
  <c r="G295" i="1"/>
  <c r="C295" i="1"/>
  <c r="J294" i="1"/>
  <c r="G294" i="1"/>
  <c r="C294" i="1"/>
  <c r="J293" i="1"/>
  <c r="G293" i="1"/>
  <c r="C293" i="1"/>
  <c r="J292" i="1"/>
  <c r="G292" i="1"/>
  <c r="C292" i="1"/>
  <c r="J291" i="1"/>
  <c r="G291" i="1"/>
  <c r="C291" i="1"/>
  <c r="J290" i="1"/>
  <c r="G290" i="1"/>
  <c r="C290" i="1"/>
  <c r="J289" i="1"/>
  <c r="G289" i="1"/>
  <c r="C289" i="1"/>
  <c r="J288" i="1"/>
  <c r="G288" i="1"/>
  <c r="C288" i="1"/>
  <c r="J287" i="1"/>
  <c r="G287" i="1"/>
  <c r="C287" i="1"/>
  <c r="J286" i="1"/>
  <c r="G286" i="1"/>
  <c r="C286" i="1"/>
  <c r="J285" i="1"/>
  <c r="G285" i="1"/>
  <c r="C285" i="1"/>
  <c r="J284" i="1"/>
  <c r="G284" i="1"/>
  <c r="C284" i="1"/>
  <c r="J283" i="1"/>
  <c r="G283" i="1"/>
  <c r="C283" i="1"/>
  <c r="J282" i="1"/>
  <c r="G282" i="1"/>
  <c r="C282" i="1"/>
  <c r="J281" i="1"/>
  <c r="G281" i="1"/>
  <c r="C281" i="1"/>
  <c r="J280" i="1"/>
  <c r="G280" i="1"/>
  <c r="C280" i="1"/>
  <c r="J279" i="1"/>
  <c r="G279" i="1"/>
  <c r="C279" i="1"/>
  <c r="J278" i="1"/>
  <c r="G278" i="1"/>
  <c r="C278" i="1"/>
  <c r="J277" i="1"/>
  <c r="G277" i="1"/>
  <c r="C277" i="1"/>
  <c r="J276" i="1"/>
  <c r="G276" i="1"/>
  <c r="C276" i="1"/>
  <c r="J275" i="1"/>
  <c r="G275" i="1"/>
  <c r="C275" i="1"/>
  <c r="J274" i="1"/>
  <c r="G274" i="1"/>
  <c r="C274" i="1"/>
  <c r="J273" i="1"/>
  <c r="G273" i="1"/>
  <c r="C273" i="1"/>
  <c r="J272" i="1"/>
  <c r="G272" i="1"/>
  <c r="C272" i="1"/>
  <c r="J271" i="1"/>
  <c r="G271" i="1"/>
  <c r="C271" i="1"/>
  <c r="J270" i="1"/>
  <c r="G270" i="1"/>
  <c r="C270" i="1"/>
  <c r="J269" i="1"/>
  <c r="G269" i="1"/>
  <c r="C269" i="1"/>
  <c r="J268" i="1"/>
  <c r="G268" i="1"/>
  <c r="C268" i="1"/>
  <c r="J267" i="1"/>
  <c r="G267" i="1"/>
  <c r="C267" i="1"/>
  <c r="J266" i="1"/>
  <c r="G266" i="1"/>
  <c r="C266" i="1"/>
  <c r="J265" i="1"/>
  <c r="G265" i="1"/>
  <c r="C265" i="1"/>
  <c r="J264" i="1"/>
  <c r="G264" i="1"/>
  <c r="C264" i="1"/>
  <c r="J263" i="1"/>
  <c r="G263" i="1"/>
  <c r="C263" i="1"/>
  <c r="J262" i="1"/>
  <c r="G262" i="1"/>
  <c r="C262" i="1"/>
  <c r="J261" i="1"/>
  <c r="G261" i="1"/>
  <c r="C261" i="1"/>
  <c r="J260" i="1"/>
  <c r="G260" i="1"/>
  <c r="C260" i="1"/>
  <c r="J259" i="1"/>
  <c r="G259" i="1"/>
  <c r="C259" i="1"/>
  <c r="J258" i="1"/>
  <c r="G258" i="1"/>
  <c r="C258" i="1"/>
  <c r="J257" i="1"/>
  <c r="G257" i="1"/>
  <c r="C257" i="1"/>
  <c r="J256" i="1"/>
  <c r="G256" i="1"/>
  <c r="C256" i="1"/>
  <c r="J255" i="1"/>
  <c r="G255" i="1"/>
  <c r="C255" i="1"/>
  <c r="J254" i="1"/>
  <c r="G254" i="1"/>
  <c r="C254" i="1"/>
  <c r="J253" i="1"/>
  <c r="G253" i="1"/>
  <c r="C253" i="1"/>
  <c r="J252" i="1"/>
  <c r="G252" i="1"/>
  <c r="C252" i="1"/>
  <c r="J251" i="1"/>
  <c r="G251" i="1"/>
  <c r="C251" i="1"/>
  <c r="J250" i="1"/>
  <c r="G250" i="1"/>
  <c r="C250" i="1"/>
  <c r="J249" i="1"/>
  <c r="G249" i="1"/>
  <c r="C249" i="1"/>
  <c r="J248" i="1"/>
  <c r="G248" i="1"/>
  <c r="C248" i="1"/>
  <c r="J247" i="1"/>
  <c r="G247" i="1"/>
  <c r="C247" i="1"/>
  <c r="J246" i="1"/>
  <c r="G246" i="1"/>
  <c r="C246" i="1"/>
  <c r="J245" i="1"/>
  <c r="G245" i="1"/>
  <c r="C245" i="1"/>
  <c r="J244" i="1"/>
  <c r="G244" i="1"/>
  <c r="C244" i="1"/>
  <c r="J243" i="1"/>
  <c r="G243" i="1"/>
  <c r="C243" i="1"/>
  <c r="J242" i="1"/>
  <c r="G242" i="1"/>
  <c r="C242" i="1"/>
  <c r="J241" i="1"/>
  <c r="G241" i="1"/>
  <c r="C241" i="1"/>
  <c r="J240" i="1"/>
  <c r="G240" i="1"/>
  <c r="C240" i="1"/>
  <c r="J239" i="1"/>
  <c r="G239" i="1"/>
  <c r="C239" i="1"/>
  <c r="J238" i="1"/>
  <c r="G238" i="1"/>
  <c r="C238" i="1"/>
  <c r="J237" i="1"/>
  <c r="G237" i="1"/>
  <c r="C237" i="1"/>
  <c r="J236" i="1"/>
  <c r="G236" i="1"/>
  <c r="C236" i="1"/>
  <c r="J235" i="1"/>
  <c r="G235" i="1"/>
  <c r="C235" i="1"/>
  <c r="J234" i="1"/>
  <c r="G234" i="1"/>
  <c r="C234" i="1"/>
  <c r="J233" i="1"/>
  <c r="G233" i="1"/>
  <c r="C233" i="1"/>
  <c r="J232" i="1"/>
  <c r="G232" i="1"/>
  <c r="C232" i="1"/>
  <c r="J231" i="1"/>
  <c r="G231" i="1"/>
  <c r="C231" i="1"/>
  <c r="J230" i="1"/>
  <c r="G230" i="1"/>
  <c r="C230" i="1"/>
  <c r="J229" i="1"/>
  <c r="G229" i="1"/>
  <c r="C229" i="1"/>
  <c r="J228" i="1"/>
  <c r="G228" i="1"/>
  <c r="C228" i="1"/>
  <c r="J227" i="1"/>
  <c r="G227" i="1"/>
  <c r="C227" i="1"/>
  <c r="J226" i="1"/>
  <c r="G226" i="1"/>
  <c r="C226" i="1"/>
  <c r="J225" i="1"/>
  <c r="G225" i="1"/>
  <c r="C225" i="1"/>
  <c r="J224" i="1"/>
  <c r="G224" i="1"/>
  <c r="C224" i="1"/>
  <c r="J223" i="1"/>
  <c r="G223" i="1"/>
  <c r="C223" i="1"/>
  <c r="J222" i="1"/>
  <c r="G222" i="1"/>
  <c r="C222" i="1"/>
  <c r="J221" i="1"/>
  <c r="G221" i="1"/>
  <c r="C221" i="1"/>
  <c r="J220" i="1"/>
  <c r="G220" i="1"/>
  <c r="C220" i="1"/>
  <c r="J219" i="1"/>
  <c r="G219" i="1"/>
  <c r="C219" i="1"/>
  <c r="J218" i="1"/>
  <c r="G218" i="1"/>
  <c r="C218" i="1"/>
  <c r="J217" i="1"/>
  <c r="G217" i="1"/>
  <c r="C217" i="1"/>
  <c r="J216" i="1"/>
  <c r="G216" i="1"/>
  <c r="C216" i="1"/>
  <c r="J215" i="1"/>
  <c r="G215" i="1"/>
  <c r="C215" i="1"/>
  <c r="J214" i="1"/>
  <c r="G214" i="1"/>
  <c r="C214" i="1"/>
  <c r="J213" i="1"/>
  <c r="G213" i="1"/>
  <c r="C213" i="1"/>
  <c r="J212" i="1"/>
  <c r="G212" i="1"/>
  <c r="C212" i="1"/>
  <c r="J211" i="1"/>
  <c r="G211" i="1"/>
  <c r="C211" i="1"/>
  <c r="J210" i="1"/>
  <c r="G210" i="1"/>
  <c r="C210" i="1"/>
  <c r="J209" i="1"/>
  <c r="G209" i="1"/>
  <c r="C209" i="1"/>
  <c r="J208" i="1"/>
  <c r="G208" i="1"/>
  <c r="C208" i="1"/>
  <c r="J207" i="1"/>
  <c r="G207" i="1"/>
  <c r="C207" i="1"/>
  <c r="J206" i="1"/>
  <c r="G206" i="1"/>
  <c r="C206" i="1"/>
  <c r="J205" i="1"/>
  <c r="G205" i="1"/>
  <c r="C205" i="1"/>
  <c r="J204" i="1"/>
  <c r="G204" i="1"/>
  <c r="C204" i="1"/>
  <c r="J203" i="1"/>
  <c r="G203" i="1"/>
  <c r="C203" i="1"/>
  <c r="J202" i="1"/>
  <c r="G202" i="1"/>
  <c r="C202" i="1"/>
  <c r="J201" i="1"/>
  <c r="G201" i="1"/>
  <c r="C201" i="1"/>
  <c r="J200" i="1"/>
  <c r="G200" i="1"/>
  <c r="C200" i="1"/>
  <c r="J199" i="1"/>
  <c r="G199" i="1"/>
  <c r="C199" i="1"/>
  <c r="J198" i="1"/>
  <c r="G198" i="1"/>
  <c r="C198" i="1"/>
  <c r="J197" i="1"/>
  <c r="G197" i="1"/>
  <c r="C197" i="1"/>
  <c r="J196" i="1"/>
  <c r="G196" i="1"/>
  <c r="C196" i="1"/>
  <c r="J195" i="1"/>
  <c r="G195" i="1"/>
  <c r="C195" i="1"/>
  <c r="J194" i="1"/>
  <c r="G194" i="1"/>
  <c r="C194" i="1"/>
  <c r="J193" i="1"/>
  <c r="G193" i="1"/>
  <c r="C193" i="1"/>
  <c r="J192" i="1"/>
  <c r="G192" i="1"/>
  <c r="C192" i="1"/>
  <c r="J191" i="1"/>
  <c r="G191" i="1"/>
  <c r="C191" i="1"/>
  <c r="J190" i="1"/>
  <c r="G190" i="1"/>
  <c r="C190" i="1"/>
  <c r="J189" i="1"/>
  <c r="G189" i="1"/>
  <c r="C189" i="1"/>
  <c r="J188" i="1"/>
  <c r="G188" i="1"/>
  <c r="C188" i="1"/>
  <c r="J187" i="1"/>
  <c r="G187" i="1"/>
  <c r="C187" i="1"/>
  <c r="J186" i="1"/>
  <c r="G186" i="1"/>
  <c r="C186" i="1"/>
  <c r="J185" i="1"/>
  <c r="G185" i="1"/>
  <c r="C185" i="1"/>
  <c r="J184" i="1"/>
  <c r="G184" i="1"/>
  <c r="C184" i="1"/>
  <c r="J183" i="1"/>
  <c r="G183" i="1"/>
  <c r="C183" i="1"/>
  <c r="J182" i="1"/>
  <c r="G182" i="1"/>
  <c r="C182" i="1"/>
  <c r="J181" i="1"/>
  <c r="G181" i="1"/>
  <c r="C181" i="1"/>
  <c r="M180" i="1"/>
  <c r="J180" i="1"/>
  <c r="G180" i="1"/>
  <c r="C180" i="1"/>
  <c r="J179" i="1"/>
  <c r="G179" i="1"/>
  <c r="C179" i="1"/>
  <c r="J178" i="1"/>
  <c r="G178" i="1"/>
  <c r="C178" i="1"/>
  <c r="J177" i="1"/>
  <c r="G177" i="1"/>
  <c r="C177" i="1"/>
  <c r="J176" i="1"/>
  <c r="G176" i="1"/>
  <c r="C176" i="1"/>
  <c r="J175" i="1"/>
  <c r="G175" i="1"/>
  <c r="C175" i="1"/>
  <c r="J174" i="1"/>
  <c r="G174" i="1"/>
  <c r="C174" i="1"/>
  <c r="J173" i="1"/>
  <c r="G173" i="1"/>
  <c r="C173" i="1"/>
  <c r="J172" i="1"/>
  <c r="G172" i="1"/>
  <c r="C172" i="1"/>
  <c r="J171" i="1"/>
  <c r="G171" i="1"/>
  <c r="C171" i="1"/>
  <c r="J170" i="1"/>
  <c r="G170" i="1"/>
  <c r="C170" i="1"/>
  <c r="J169" i="1"/>
  <c r="G169" i="1"/>
  <c r="C169" i="1"/>
  <c r="J168" i="1"/>
  <c r="G168" i="1"/>
  <c r="C168" i="1"/>
  <c r="J167" i="1"/>
  <c r="G167" i="1"/>
  <c r="C167" i="1"/>
  <c r="J166" i="1"/>
  <c r="G166" i="1"/>
  <c r="C166" i="1"/>
  <c r="J165" i="1"/>
  <c r="G165" i="1"/>
  <c r="C165" i="1"/>
  <c r="J164" i="1"/>
  <c r="G164" i="1"/>
  <c r="C164" i="1"/>
  <c r="J163" i="1"/>
  <c r="G163" i="1"/>
  <c r="C163" i="1"/>
  <c r="J162" i="1"/>
  <c r="G162" i="1"/>
  <c r="C162" i="1"/>
  <c r="J161" i="1"/>
  <c r="G161" i="1"/>
  <c r="C161" i="1"/>
  <c r="J160" i="1"/>
  <c r="G160" i="1"/>
  <c r="C160" i="1"/>
  <c r="J159" i="1"/>
  <c r="G159" i="1"/>
  <c r="C159" i="1"/>
  <c r="J158" i="1"/>
  <c r="G158" i="1"/>
  <c r="C158" i="1"/>
  <c r="J157" i="1"/>
  <c r="G157" i="1"/>
  <c r="C157" i="1"/>
  <c r="J156" i="1"/>
  <c r="G156" i="1"/>
  <c r="C156" i="1"/>
  <c r="J155" i="1"/>
  <c r="G155" i="1"/>
  <c r="C155" i="1"/>
  <c r="J154" i="1"/>
  <c r="G154" i="1"/>
  <c r="C154" i="1"/>
  <c r="J153" i="1"/>
  <c r="G153" i="1"/>
  <c r="C153" i="1"/>
  <c r="J152" i="1"/>
  <c r="G152" i="1"/>
  <c r="C152" i="1"/>
  <c r="J151" i="1"/>
  <c r="G151" i="1"/>
  <c r="C151" i="1"/>
  <c r="J150" i="1"/>
  <c r="G150" i="1"/>
  <c r="C150" i="1"/>
  <c r="J149" i="1"/>
  <c r="G149" i="1"/>
  <c r="C149" i="1"/>
  <c r="J148" i="1"/>
  <c r="G148" i="1"/>
  <c r="C148" i="1"/>
  <c r="J147" i="1"/>
  <c r="G147" i="1"/>
  <c r="C147" i="1"/>
  <c r="J146" i="1"/>
  <c r="G146" i="1"/>
  <c r="C146" i="1"/>
  <c r="J145" i="1"/>
  <c r="G145" i="1"/>
  <c r="C145" i="1"/>
  <c r="J144" i="1"/>
  <c r="G144" i="1"/>
  <c r="C144" i="1"/>
  <c r="J143" i="1"/>
  <c r="G143" i="1"/>
  <c r="C143" i="1"/>
  <c r="J142" i="1"/>
  <c r="G142" i="1"/>
  <c r="C142" i="1"/>
  <c r="J141" i="1"/>
  <c r="G141" i="1"/>
  <c r="C141" i="1"/>
  <c r="J140" i="1"/>
  <c r="G140" i="1"/>
  <c r="C140" i="1"/>
  <c r="J139" i="1"/>
  <c r="G139" i="1"/>
  <c r="C139" i="1"/>
  <c r="J138" i="1"/>
  <c r="G138" i="1"/>
  <c r="C138" i="1"/>
  <c r="J137" i="1"/>
  <c r="G137" i="1"/>
  <c r="C137" i="1"/>
  <c r="J136" i="1"/>
  <c r="G136" i="1"/>
  <c r="C136" i="1"/>
  <c r="J135" i="1"/>
  <c r="G135" i="1"/>
  <c r="C135" i="1"/>
  <c r="J134" i="1"/>
  <c r="G134" i="1"/>
  <c r="C134" i="1"/>
  <c r="J133" i="1"/>
  <c r="G133" i="1"/>
  <c r="C133" i="1"/>
  <c r="J132" i="1"/>
  <c r="G132" i="1"/>
  <c r="C132" i="1"/>
  <c r="J131" i="1"/>
  <c r="G131" i="1"/>
  <c r="C131" i="1"/>
  <c r="J130" i="1"/>
  <c r="G130" i="1"/>
  <c r="C130" i="1"/>
  <c r="J129" i="1"/>
  <c r="G129" i="1"/>
  <c r="C129" i="1"/>
  <c r="J128" i="1"/>
  <c r="G128" i="1"/>
  <c r="C128" i="1"/>
  <c r="J127" i="1"/>
  <c r="G127" i="1"/>
  <c r="C127" i="1"/>
  <c r="J126" i="1"/>
  <c r="G126" i="1"/>
  <c r="C126" i="1"/>
  <c r="J125" i="1"/>
  <c r="G125" i="1"/>
  <c r="C125" i="1"/>
  <c r="J124" i="1"/>
  <c r="G124" i="1"/>
  <c r="C124" i="1"/>
  <c r="J123" i="1"/>
  <c r="G123" i="1"/>
  <c r="C123" i="1"/>
  <c r="J122" i="1"/>
  <c r="G122" i="1"/>
  <c r="C122" i="1"/>
  <c r="J121" i="1"/>
  <c r="G121" i="1"/>
  <c r="C121" i="1"/>
  <c r="J120" i="1"/>
  <c r="G120" i="1"/>
  <c r="C120" i="1"/>
  <c r="J119" i="1"/>
  <c r="G119" i="1"/>
  <c r="C119" i="1"/>
  <c r="J118" i="1"/>
  <c r="G118" i="1"/>
  <c r="C118" i="1"/>
  <c r="J117" i="1"/>
  <c r="G117" i="1"/>
  <c r="C117" i="1"/>
  <c r="J116" i="1"/>
  <c r="G116" i="1"/>
  <c r="C116" i="1"/>
  <c r="J115" i="1"/>
  <c r="G115" i="1"/>
  <c r="C115" i="1"/>
  <c r="J114" i="1"/>
  <c r="G114" i="1"/>
  <c r="C114" i="1"/>
  <c r="J113" i="1"/>
  <c r="G113" i="1"/>
  <c r="C113" i="1"/>
  <c r="J112" i="1"/>
  <c r="G112" i="1"/>
  <c r="C112" i="1"/>
  <c r="J111" i="1"/>
  <c r="G111" i="1"/>
  <c r="C111" i="1"/>
  <c r="J110" i="1"/>
  <c r="G110" i="1"/>
  <c r="C110" i="1"/>
  <c r="J109" i="1"/>
  <c r="G109" i="1"/>
  <c r="C109" i="1"/>
  <c r="J108" i="1"/>
  <c r="G108" i="1"/>
  <c r="C108" i="1"/>
  <c r="J107" i="1"/>
  <c r="G107" i="1"/>
  <c r="C107" i="1"/>
  <c r="J106" i="1"/>
  <c r="G106" i="1"/>
  <c r="C106" i="1"/>
  <c r="J105" i="1"/>
  <c r="G105" i="1"/>
  <c r="C105" i="1"/>
  <c r="J104" i="1"/>
  <c r="G104" i="1"/>
  <c r="C104" i="1"/>
  <c r="J103" i="1"/>
  <c r="G103" i="1"/>
  <c r="C103" i="1"/>
  <c r="J102" i="1"/>
  <c r="G102" i="1"/>
  <c r="C102" i="1"/>
  <c r="J101" i="1"/>
  <c r="G101" i="1"/>
  <c r="C101" i="1"/>
  <c r="J100" i="1"/>
  <c r="G100" i="1"/>
  <c r="C100" i="1"/>
  <c r="J99" i="1"/>
  <c r="G99" i="1"/>
  <c r="C99" i="1"/>
  <c r="J98" i="1"/>
  <c r="G98" i="1"/>
  <c r="C98" i="1"/>
  <c r="J97" i="1"/>
  <c r="G97" i="1"/>
  <c r="C97" i="1"/>
  <c r="J96" i="1"/>
  <c r="G96" i="1"/>
  <c r="C96" i="1"/>
  <c r="J95" i="1"/>
  <c r="G95" i="1"/>
  <c r="C95" i="1"/>
  <c r="J94" i="1"/>
  <c r="G94" i="1"/>
  <c r="C94" i="1"/>
  <c r="J93" i="1"/>
  <c r="G93" i="1"/>
  <c r="C93" i="1"/>
  <c r="J92" i="1"/>
  <c r="G92" i="1"/>
  <c r="C92" i="1"/>
  <c r="J91" i="1"/>
  <c r="G91" i="1"/>
  <c r="C91" i="1"/>
  <c r="J90" i="1"/>
  <c r="G90" i="1"/>
  <c r="C90" i="1"/>
  <c r="J89" i="1"/>
  <c r="G89" i="1"/>
  <c r="C89" i="1"/>
  <c r="J88" i="1"/>
  <c r="G88" i="1"/>
  <c r="C88" i="1"/>
  <c r="J87" i="1"/>
  <c r="G87" i="1"/>
  <c r="C87" i="1"/>
  <c r="J86" i="1"/>
  <c r="G86" i="1"/>
  <c r="C86" i="1"/>
  <c r="J85" i="1"/>
  <c r="G85" i="1"/>
  <c r="C85" i="1"/>
  <c r="J84" i="1"/>
  <c r="G84" i="1"/>
  <c r="C84" i="1"/>
  <c r="J83" i="1"/>
  <c r="G83" i="1"/>
  <c r="C83" i="1"/>
  <c r="J82" i="1"/>
  <c r="G82" i="1"/>
  <c r="C82" i="1"/>
  <c r="J81" i="1"/>
  <c r="G81" i="1"/>
  <c r="C81" i="1"/>
  <c r="J80" i="1"/>
  <c r="G80" i="1"/>
  <c r="C80" i="1"/>
  <c r="J79" i="1"/>
  <c r="G79" i="1"/>
  <c r="C79" i="1"/>
  <c r="J78" i="1"/>
  <c r="G78" i="1"/>
  <c r="C78" i="1"/>
  <c r="J77" i="1"/>
  <c r="G77" i="1"/>
  <c r="C77" i="1"/>
  <c r="J76" i="1"/>
  <c r="G76" i="1"/>
  <c r="C76" i="1"/>
  <c r="J75" i="1"/>
  <c r="G75" i="1"/>
  <c r="C75" i="1"/>
  <c r="J74" i="1"/>
  <c r="G74" i="1"/>
  <c r="C74" i="1"/>
  <c r="J73" i="1"/>
  <c r="G73" i="1"/>
  <c r="C73" i="1"/>
  <c r="J72" i="1"/>
  <c r="G72" i="1"/>
  <c r="C72" i="1"/>
  <c r="J71" i="1"/>
  <c r="G71" i="1"/>
  <c r="C71" i="1"/>
  <c r="J70" i="1"/>
  <c r="G70" i="1"/>
  <c r="C70" i="1"/>
  <c r="J69" i="1"/>
  <c r="G69" i="1"/>
  <c r="C69" i="1"/>
  <c r="J68" i="1"/>
  <c r="G68" i="1"/>
  <c r="C68" i="1"/>
  <c r="J67" i="1"/>
  <c r="G67" i="1"/>
  <c r="C67" i="1"/>
  <c r="J66" i="1"/>
  <c r="G66" i="1"/>
  <c r="C66" i="1"/>
  <c r="J65" i="1"/>
  <c r="G65" i="1"/>
  <c r="C65" i="1"/>
  <c r="J64" i="1"/>
  <c r="G64" i="1"/>
  <c r="C64" i="1"/>
  <c r="J63" i="1"/>
  <c r="G63" i="1"/>
  <c r="C63" i="1"/>
  <c r="J62" i="1"/>
  <c r="G62" i="1"/>
  <c r="C62" i="1"/>
  <c r="M61" i="1"/>
  <c r="J61" i="1"/>
  <c r="G61" i="1"/>
  <c r="C61" i="1"/>
  <c r="J60" i="1"/>
  <c r="G60" i="1"/>
  <c r="C60" i="1"/>
  <c r="J59" i="1"/>
  <c r="G59" i="1"/>
  <c r="C59" i="1"/>
  <c r="J58" i="1"/>
  <c r="G58" i="1"/>
  <c r="C58" i="1"/>
  <c r="J57" i="1"/>
  <c r="G57" i="1"/>
  <c r="C57" i="1"/>
  <c r="J56" i="1"/>
  <c r="G56" i="1"/>
  <c r="C56" i="1"/>
  <c r="J55" i="1"/>
  <c r="G55" i="1"/>
  <c r="C55" i="1"/>
  <c r="J54" i="1"/>
  <c r="G54" i="1"/>
  <c r="C54" i="1"/>
  <c r="J53" i="1"/>
  <c r="G53" i="1"/>
  <c r="C53" i="1"/>
  <c r="J52" i="1"/>
  <c r="G52" i="1"/>
  <c r="C52" i="1"/>
  <c r="J51" i="1"/>
  <c r="G51" i="1"/>
  <c r="C51" i="1"/>
  <c r="J50" i="1"/>
  <c r="G50" i="1"/>
  <c r="C50" i="1"/>
  <c r="J49" i="1"/>
  <c r="G49" i="1"/>
  <c r="C49" i="1"/>
  <c r="J48" i="1"/>
  <c r="G48" i="1"/>
  <c r="C48" i="1"/>
  <c r="J47" i="1"/>
  <c r="G47" i="1"/>
  <c r="C47" i="1"/>
  <c r="J46" i="1"/>
  <c r="G46" i="1"/>
  <c r="C46" i="1"/>
  <c r="J45" i="1"/>
  <c r="G45" i="1"/>
  <c r="C45" i="1"/>
  <c r="J44" i="1"/>
  <c r="G44" i="1"/>
  <c r="C44" i="1"/>
  <c r="J43" i="1"/>
  <c r="G43" i="1"/>
  <c r="C43" i="1"/>
  <c r="J42" i="1"/>
  <c r="G42" i="1"/>
  <c r="C42" i="1"/>
  <c r="J41" i="1"/>
  <c r="G41" i="1"/>
  <c r="C41" i="1"/>
  <c r="J40" i="1"/>
  <c r="G40" i="1"/>
  <c r="C40" i="1"/>
  <c r="J39" i="1"/>
  <c r="G39" i="1"/>
  <c r="C39" i="1"/>
  <c r="J38" i="1"/>
  <c r="G38" i="1"/>
  <c r="C38" i="1"/>
  <c r="J37" i="1"/>
  <c r="G37" i="1"/>
  <c r="C37" i="1"/>
  <c r="J36" i="1"/>
  <c r="G36" i="1"/>
  <c r="C36" i="1"/>
  <c r="J35" i="1"/>
  <c r="G35" i="1"/>
  <c r="C35" i="1"/>
  <c r="J34" i="1"/>
  <c r="G34" i="1"/>
  <c r="C34" i="1"/>
  <c r="J33" i="1"/>
  <c r="G33" i="1"/>
  <c r="C33" i="1"/>
  <c r="J32" i="1"/>
  <c r="G32" i="1"/>
  <c r="C32" i="1"/>
  <c r="J31" i="1"/>
  <c r="G31" i="1"/>
  <c r="C31" i="1"/>
  <c r="J30" i="1"/>
  <c r="G30" i="1"/>
  <c r="C30" i="1"/>
  <c r="J29" i="1"/>
  <c r="G29" i="1"/>
  <c r="C29" i="1"/>
  <c r="J28" i="1"/>
  <c r="G28" i="1"/>
  <c r="C28" i="1"/>
  <c r="J27" i="1"/>
  <c r="G27" i="1"/>
  <c r="C27" i="1"/>
  <c r="J26" i="1"/>
  <c r="G26" i="1"/>
  <c r="C26" i="1"/>
  <c r="J25" i="1"/>
  <c r="G25" i="1"/>
  <c r="C25" i="1"/>
  <c r="J24" i="1"/>
  <c r="G24" i="1"/>
  <c r="C24" i="1"/>
  <c r="J23" i="1"/>
  <c r="G23" i="1"/>
  <c r="C23" i="1"/>
  <c r="J22" i="1"/>
  <c r="G22" i="1"/>
  <c r="C22" i="1"/>
  <c r="J21" i="1"/>
  <c r="G21" i="1"/>
  <c r="C21" i="1"/>
  <c r="J20" i="1"/>
  <c r="G20" i="1"/>
  <c r="C20" i="1"/>
  <c r="J19" i="1"/>
  <c r="G19" i="1"/>
  <c r="C19" i="1"/>
  <c r="J18" i="1"/>
  <c r="G18" i="1"/>
  <c r="C18" i="1"/>
  <c r="J17" i="1"/>
  <c r="G17" i="1"/>
  <c r="C17" i="1"/>
  <c r="J16" i="1"/>
  <c r="G16" i="1"/>
  <c r="C16" i="1"/>
  <c r="J15" i="1"/>
  <c r="G15" i="1"/>
  <c r="C15" i="1"/>
  <c r="J14" i="1"/>
  <c r="G14" i="1"/>
  <c r="C14" i="1"/>
  <c r="J13" i="1"/>
  <c r="G13" i="1"/>
  <c r="C13" i="1"/>
  <c r="J12" i="1"/>
  <c r="C12" i="1"/>
  <c r="J11" i="1"/>
  <c r="G11" i="1"/>
  <c r="C11" i="1"/>
  <c r="J10" i="1"/>
  <c r="G10" i="1"/>
  <c r="C10" i="1"/>
  <c r="J9" i="1"/>
  <c r="G9" i="1"/>
  <c r="C9" i="1"/>
  <c r="J8" i="1"/>
  <c r="G8" i="1"/>
  <c r="C8" i="1"/>
  <c r="J7" i="1"/>
  <c r="G7" i="1"/>
  <c r="C7" i="1"/>
  <c r="J6" i="1"/>
  <c r="G6" i="1"/>
  <c r="C6" i="1"/>
  <c r="J5" i="1"/>
  <c r="G5" i="1"/>
  <c r="C5" i="1"/>
  <c r="J4" i="1"/>
  <c r="G4" i="1"/>
  <c r="C4" i="1"/>
  <c r="J3" i="1"/>
  <c r="G3" i="1"/>
  <c r="C3" i="1"/>
  <c r="J2" i="1"/>
  <c r="G2" i="1"/>
  <c r="C2" i="1"/>
  <c r="N12" i="1" l="1"/>
  <c r="D4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130" i="5"/>
  <c r="H129" i="5"/>
  <c r="H127" i="5"/>
  <c r="H126" i="5"/>
  <c r="H122" i="5"/>
  <c r="H121" i="5"/>
  <c r="H120" i="5"/>
  <c r="H115" i="5"/>
  <c r="H104" i="5"/>
  <c r="H103" i="5"/>
  <c r="H99" i="5"/>
  <c r="H96" i="5"/>
  <c r="H95" i="5"/>
  <c r="H94" i="5"/>
  <c r="H86" i="5"/>
  <c r="H85" i="5"/>
  <c r="H78" i="5"/>
  <c r="H77" i="5"/>
  <c r="H76" i="5"/>
  <c r="H75" i="5"/>
  <c r="H74" i="5"/>
  <c r="H73" i="5"/>
  <c r="H72" i="5"/>
  <c r="H70" i="5"/>
  <c r="H69" i="5"/>
  <c r="H68" i="5"/>
  <c r="H66" i="5"/>
  <c r="H65" i="5"/>
  <c r="H62" i="5"/>
  <c r="H61" i="5"/>
  <c r="H58" i="5"/>
  <c r="H57" i="5"/>
  <c r="H55" i="5"/>
  <c r="H54" i="5"/>
  <c r="H53" i="5"/>
  <c r="H52" i="5"/>
  <c r="H50" i="5"/>
  <c r="H49" i="5"/>
  <c r="H48" i="5"/>
  <c r="H47" i="5"/>
  <c r="H45" i="5"/>
  <c r="H44" i="5"/>
  <c r="H43" i="5"/>
  <c r="H41" i="5"/>
  <c r="H40" i="5"/>
  <c r="H39" i="5"/>
  <c r="H31" i="5"/>
  <c r="H30" i="5"/>
  <c r="H29" i="5"/>
  <c r="H28" i="5"/>
  <c r="H27" i="5"/>
  <c r="H26" i="5"/>
  <c r="H25" i="5"/>
  <c r="H24" i="5"/>
  <c r="H23" i="5"/>
  <c r="H22" i="5"/>
  <c r="H21" i="5"/>
  <c r="H20" i="5"/>
  <c r="H16" i="5"/>
  <c r="H15" i="5"/>
  <c r="H10" i="5"/>
  <c r="H9" i="5"/>
  <c r="H8" i="5"/>
  <c r="H6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28" i="5"/>
  <c r="H125" i="5"/>
  <c r="H124" i="5"/>
  <c r="H123" i="5"/>
  <c r="H119" i="5"/>
  <c r="H118" i="5"/>
  <c r="H117" i="5"/>
  <c r="H116" i="5"/>
  <c r="H114" i="5"/>
  <c r="H113" i="5"/>
  <c r="H112" i="5"/>
  <c r="H111" i="5"/>
  <c r="H110" i="5"/>
  <c r="H109" i="5"/>
  <c r="H108" i="5"/>
  <c r="H107" i="5"/>
  <c r="H106" i="5"/>
  <c r="H105" i="5"/>
  <c r="H102" i="5"/>
  <c r="H101" i="5"/>
  <c r="H100" i="5"/>
  <c r="H98" i="5"/>
  <c r="H97" i="5"/>
  <c r="H93" i="5"/>
  <c r="H92" i="5"/>
  <c r="H91" i="5"/>
  <c r="H90" i="5"/>
  <c r="H89" i="5"/>
  <c r="H88" i="5"/>
  <c r="H87" i="5"/>
  <c r="H84" i="5"/>
  <c r="H83" i="5"/>
  <c r="H82" i="5"/>
  <c r="H81" i="5"/>
  <c r="H80" i="5"/>
  <c r="H79" i="5"/>
  <c r="H71" i="5"/>
  <c r="H67" i="5"/>
  <c r="H64" i="5"/>
  <c r="H63" i="5"/>
  <c r="H60" i="5"/>
  <c r="H59" i="5"/>
  <c r="H56" i="5"/>
  <c r="H51" i="5"/>
  <c r="H46" i="5"/>
  <c r="H42" i="5"/>
  <c r="H38" i="5"/>
  <c r="H37" i="5"/>
  <c r="H36" i="5"/>
  <c r="H35" i="5"/>
  <c r="H34" i="5"/>
  <c r="H33" i="5"/>
  <c r="H32" i="5"/>
  <c r="H19" i="5"/>
  <c r="H18" i="5"/>
  <c r="H17" i="5"/>
  <c r="H14" i="5"/>
  <c r="H13" i="5"/>
  <c r="H12" i="5"/>
  <c r="H11" i="5"/>
  <c r="H7" i="5"/>
  <c r="H5" i="5"/>
  <c r="E8" i="5"/>
  <c r="D8" i="5"/>
  <c r="E7" i="5"/>
  <c r="D7" i="5"/>
  <c r="E6" i="5"/>
  <c r="D6" i="5"/>
  <c r="E5" i="5"/>
  <c r="D5" i="5"/>
  <c r="E4" i="5"/>
  <c r="L596" i="1"/>
  <c r="P596" i="1" s="1"/>
  <c r="K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78" i="1"/>
  <c r="M574" i="1"/>
  <c r="M571" i="1"/>
  <c r="M565" i="1"/>
  <c r="M555" i="1"/>
  <c r="M542" i="1"/>
  <c r="M541" i="1"/>
  <c r="M375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O477" i="1"/>
  <c r="M395" i="1"/>
  <c r="O392" i="1"/>
  <c r="M392" i="1"/>
  <c r="M389" i="1"/>
  <c r="M384" i="1"/>
  <c r="M383" i="1"/>
  <c r="M381" i="1"/>
  <c r="M373" i="1"/>
  <c r="M366" i="1"/>
  <c r="O362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P418" i="1"/>
  <c r="O418" i="1"/>
  <c r="K418" i="1"/>
  <c r="M396" i="1"/>
  <c r="M394" i="1"/>
  <c r="M393" i="1"/>
  <c r="M387" i="1"/>
  <c r="O381" i="1"/>
  <c r="M377" i="1"/>
  <c r="M370" i="1"/>
  <c r="M367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1" i="1"/>
  <c r="O390" i="1"/>
  <c r="M390" i="1"/>
  <c r="M388" i="1"/>
  <c r="M386" i="1"/>
  <c r="M385" i="1"/>
  <c r="O366" i="1"/>
  <c r="M362" i="1"/>
  <c r="O358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O330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P299" i="1"/>
  <c r="O299" i="1"/>
  <c r="M251" i="1"/>
  <c r="M247" i="1"/>
  <c r="M245" i="1"/>
  <c r="M243" i="1"/>
  <c r="M241" i="1"/>
  <c r="M182" i="1"/>
  <c r="M181" i="1"/>
  <c r="O125" i="1"/>
  <c r="M125" i="1"/>
  <c r="M121" i="1"/>
  <c r="M547" i="1"/>
  <c r="M538" i="1"/>
  <c r="M382" i="1"/>
  <c r="M35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O266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0" i="1"/>
  <c r="M249" i="1"/>
  <c r="M248" i="1"/>
  <c r="M246" i="1"/>
  <c r="M244" i="1"/>
  <c r="M242" i="1"/>
  <c r="M240" i="1"/>
  <c r="O182" i="1"/>
  <c r="O180" i="1"/>
  <c r="M580" i="1"/>
  <c r="M577" i="1"/>
  <c r="M575" i="1"/>
  <c r="O572" i="1"/>
  <c r="M572" i="1"/>
  <c r="O569" i="1"/>
  <c r="M569" i="1"/>
  <c r="M566" i="1"/>
  <c r="O564" i="1"/>
  <c r="M564" i="1"/>
  <c r="O562" i="1"/>
  <c r="M562" i="1"/>
  <c r="M556" i="1"/>
  <c r="M554" i="1"/>
  <c r="O551" i="1"/>
  <c r="O380" i="1"/>
  <c r="M374" i="1"/>
  <c r="O370" i="1"/>
  <c r="O369" i="1"/>
  <c r="O365" i="1"/>
  <c r="M361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L180" i="1"/>
  <c r="P180" i="1" s="1"/>
  <c r="M130" i="1"/>
  <c r="M128" i="1"/>
  <c r="M126" i="1"/>
  <c r="O123" i="1"/>
  <c r="M123" i="1"/>
  <c r="O122" i="1"/>
  <c r="M122" i="1"/>
  <c r="O598" i="1"/>
  <c r="M598" i="1"/>
  <c r="O596" i="1"/>
  <c r="O583" i="1"/>
  <c r="M583" i="1"/>
  <c r="O582" i="1"/>
  <c r="M582" i="1"/>
  <c r="M579" i="1"/>
  <c r="O576" i="1"/>
  <c r="M576" i="1"/>
  <c r="M570" i="1"/>
  <c r="M568" i="1"/>
  <c r="M561" i="1"/>
  <c r="M560" i="1"/>
  <c r="M557" i="1"/>
  <c r="O556" i="1"/>
  <c r="O553" i="1"/>
  <c r="M551" i="1"/>
  <c r="M550" i="1"/>
  <c r="M548" i="1"/>
  <c r="M545" i="1"/>
  <c r="O539" i="1"/>
  <c r="M539" i="1"/>
  <c r="O377" i="1"/>
  <c r="M376" i="1"/>
  <c r="O372" i="1"/>
  <c r="O364" i="1"/>
  <c r="M364" i="1"/>
  <c r="K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29" i="1"/>
  <c r="M127" i="1"/>
  <c r="M124" i="1"/>
  <c r="M599" i="1"/>
  <c r="O581" i="1"/>
  <c r="M581" i="1"/>
  <c r="O574" i="1"/>
  <c r="M573" i="1"/>
  <c r="M567" i="1"/>
  <c r="M563" i="1"/>
  <c r="M552" i="1"/>
  <c r="M544" i="1"/>
  <c r="M540" i="1"/>
  <c r="M369" i="1"/>
  <c r="M365" i="1"/>
  <c r="M363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O61" i="1"/>
  <c r="M9" i="1"/>
  <c r="M7" i="1"/>
  <c r="M6" i="1"/>
  <c r="M4" i="1"/>
  <c r="M3" i="1"/>
  <c r="M2" i="1"/>
  <c r="M549" i="1"/>
  <c r="M546" i="1"/>
  <c r="M543" i="1"/>
  <c r="M379" i="1"/>
  <c r="M378" i="1"/>
  <c r="M372" i="1"/>
  <c r="M368" i="1"/>
  <c r="M360" i="1"/>
  <c r="L61" i="1"/>
  <c r="P61" i="1" s="1"/>
  <c r="K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B3" i="4" s="1"/>
  <c r="M11" i="1"/>
  <c r="M10" i="1"/>
  <c r="M8" i="1"/>
  <c r="M5" i="1"/>
  <c r="M602" i="1"/>
  <c r="M601" i="1"/>
  <c r="M600" i="1"/>
  <c r="M597" i="1"/>
  <c r="O566" i="1"/>
  <c r="O559" i="1"/>
  <c r="M559" i="1"/>
  <c r="M558" i="1"/>
  <c r="M553" i="1"/>
  <c r="O537" i="1"/>
  <c r="M537" i="1"/>
  <c r="M380" i="1"/>
  <c r="O379" i="1"/>
  <c r="O378" i="1"/>
  <c r="O373" i="1"/>
  <c r="M371" i="1"/>
  <c r="K595" i="1" l="1"/>
  <c r="L595" i="1"/>
  <c r="P595" i="1" s="1"/>
  <c r="K594" i="1"/>
  <c r="L594" i="1"/>
  <c r="P594" i="1" s="1"/>
  <c r="K593" i="1"/>
  <c r="L593" i="1"/>
  <c r="P593" i="1" s="1"/>
  <c r="K592" i="1"/>
  <c r="L592" i="1"/>
  <c r="P592" i="1" s="1"/>
  <c r="K591" i="1"/>
  <c r="L591" i="1"/>
  <c r="P591" i="1" s="1"/>
  <c r="K590" i="1"/>
  <c r="L590" i="1"/>
  <c r="P590" i="1" s="1"/>
  <c r="K589" i="1"/>
  <c r="L589" i="1"/>
  <c r="P589" i="1" s="1"/>
  <c r="K588" i="1"/>
  <c r="L588" i="1"/>
  <c r="P588" i="1" s="1"/>
  <c r="K587" i="1"/>
  <c r="L587" i="1"/>
  <c r="P587" i="1" s="1"/>
  <c r="K586" i="1"/>
  <c r="L586" i="1"/>
  <c r="P586" i="1" s="1"/>
  <c r="K585" i="1"/>
  <c r="L585" i="1"/>
  <c r="P585" i="1" s="1"/>
  <c r="K584" i="1"/>
  <c r="L584" i="1"/>
  <c r="P584" i="1" s="1"/>
  <c r="K578" i="1"/>
  <c r="L578" i="1"/>
  <c r="P578" i="1" s="1"/>
  <c r="L574" i="1"/>
  <c r="P574" i="1" s="1"/>
  <c r="K574" i="1"/>
  <c r="K571" i="1"/>
  <c r="L571" i="1"/>
  <c r="P571" i="1" s="1"/>
  <c r="L565" i="1"/>
  <c r="P565" i="1" s="1"/>
  <c r="K565" i="1"/>
  <c r="K555" i="1"/>
  <c r="L555" i="1"/>
  <c r="P555" i="1" s="1"/>
  <c r="L542" i="1"/>
  <c r="P542" i="1" s="1"/>
  <c r="K542" i="1"/>
  <c r="L541" i="1"/>
  <c r="P541" i="1" s="1"/>
  <c r="K541" i="1"/>
  <c r="L375" i="1"/>
  <c r="P375" i="1" s="1"/>
  <c r="K375" i="1"/>
  <c r="K536" i="1"/>
  <c r="L536" i="1"/>
  <c r="P536" i="1" s="1"/>
  <c r="K535" i="1"/>
  <c r="L535" i="1"/>
  <c r="P535" i="1" s="1"/>
  <c r="K534" i="1"/>
  <c r="L534" i="1"/>
  <c r="P534" i="1" s="1"/>
  <c r="K533" i="1"/>
  <c r="L533" i="1"/>
  <c r="P533" i="1" s="1"/>
  <c r="K532" i="1"/>
  <c r="L532" i="1"/>
  <c r="P532" i="1" s="1"/>
  <c r="K531" i="1"/>
  <c r="L531" i="1"/>
  <c r="P531" i="1" s="1"/>
  <c r="K530" i="1"/>
  <c r="L530" i="1"/>
  <c r="P530" i="1" s="1"/>
  <c r="K529" i="1"/>
  <c r="L529" i="1"/>
  <c r="P529" i="1" s="1"/>
  <c r="K528" i="1"/>
  <c r="L528" i="1"/>
  <c r="P528" i="1" s="1"/>
  <c r="K527" i="1"/>
  <c r="L527" i="1"/>
  <c r="P527" i="1" s="1"/>
  <c r="K526" i="1"/>
  <c r="L526" i="1"/>
  <c r="P526" i="1" s="1"/>
  <c r="K525" i="1"/>
  <c r="L525" i="1"/>
  <c r="P525" i="1" s="1"/>
  <c r="K524" i="1"/>
  <c r="L524" i="1"/>
  <c r="P524" i="1" s="1"/>
  <c r="K523" i="1"/>
  <c r="L523" i="1"/>
  <c r="P523" i="1" s="1"/>
  <c r="K522" i="1"/>
  <c r="L522" i="1"/>
  <c r="P522" i="1" s="1"/>
  <c r="K521" i="1"/>
  <c r="L521" i="1"/>
  <c r="P521" i="1" s="1"/>
  <c r="K520" i="1"/>
  <c r="L520" i="1"/>
  <c r="P520" i="1" s="1"/>
  <c r="K519" i="1"/>
  <c r="L519" i="1"/>
  <c r="P519" i="1" s="1"/>
  <c r="K518" i="1"/>
  <c r="L518" i="1"/>
  <c r="P518" i="1" s="1"/>
  <c r="K517" i="1"/>
  <c r="L517" i="1"/>
  <c r="P517" i="1" s="1"/>
  <c r="K516" i="1"/>
  <c r="L516" i="1"/>
  <c r="P516" i="1" s="1"/>
  <c r="K515" i="1"/>
  <c r="L515" i="1"/>
  <c r="P515" i="1" s="1"/>
  <c r="K514" i="1"/>
  <c r="L514" i="1"/>
  <c r="P514" i="1" s="1"/>
  <c r="K513" i="1"/>
  <c r="L513" i="1"/>
  <c r="P513" i="1" s="1"/>
  <c r="K512" i="1"/>
  <c r="L512" i="1"/>
  <c r="P512" i="1" s="1"/>
  <c r="K511" i="1"/>
  <c r="L511" i="1"/>
  <c r="P511" i="1" s="1"/>
  <c r="K510" i="1"/>
  <c r="L510" i="1"/>
  <c r="P510" i="1" s="1"/>
  <c r="K509" i="1"/>
  <c r="L509" i="1"/>
  <c r="P509" i="1" s="1"/>
  <c r="K508" i="1"/>
  <c r="L508" i="1"/>
  <c r="P508" i="1" s="1"/>
  <c r="K507" i="1"/>
  <c r="L507" i="1"/>
  <c r="P507" i="1" s="1"/>
  <c r="K506" i="1"/>
  <c r="L506" i="1"/>
  <c r="P506" i="1" s="1"/>
  <c r="K505" i="1"/>
  <c r="L505" i="1"/>
  <c r="P505" i="1" s="1"/>
  <c r="K504" i="1"/>
  <c r="L504" i="1"/>
  <c r="P504" i="1" s="1"/>
  <c r="K503" i="1"/>
  <c r="L503" i="1"/>
  <c r="P503" i="1" s="1"/>
  <c r="K502" i="1"/>
  <c r="L502" i="1"/>
  <c r="P502" i="1" s="1"/>
  <c r="K501" i="1"/>
  <c r="L501" i="1"/>
  <c r="P501" i="1" s="1"/>
  <c r="K500" i="1"/>
  <c r="L500" i="1"/>
  <c r="P500" i="1" s="1"/>
  <c r="K499" i="1"/>
  <c r="L499" i="1"/>
  <c r="P499" i="1" s="1"/>
  <c r="K498" i="1"/>
  <c r="L498" i="1"/>
  <c r="P498" i="1" s="1"/>
  <c r="K497" i="1"/>
  <c r="L497" i="1"/>
  <c r="P497" i="1" s="1"/>
  <c r="K496" i="1"/>
  <c r="L496" i="1"/>
  <c r="P496" i="1" s="1"/>
  <c r="K495" i="1"/>
  <c r="L495" i="1"/>
  <c r="P495" i="1" s="1"/>
  <c r="K494" i="1"/>
  <c r="L494" i="1"/>
  <c r="P494" i="1" s="1"/>
  <c r="K493" i="1"/>
  <c r="L493" i="1"/>
  <c r="P493" i="1" s="1"/>
  <c r="K492" i="1"/>
  <c r="L492" i="1"/>
  <c r="P492" i="1" s="1"/>
  <c r="K491" i="1"/>
  <c r="L491" i="1"/>
  <c r="P491" i="1" s="1"/>
  <c r="K490" i="1"/>
  <c r="L490" i="1"/>
  <c r="P490" i="1" s="1"/>
  <c r="K489" i="1"/>
  <c r="L489" i="1"/>
  <c r="P489" i="1" s="1"/>
  <c r="K488" i="1"/>
  <c r="L488" i="1"/>
  <c r="P488" i="1" s="1"/>
  <c r="K487" i="1"/>
  <c r="L487" i="1"/>
  <c r="P487" i="1" s="1"/>
  <c r="K486" i="1"/>
  <c r="L486" i="1"/>
  <c r="P486" i="1" s="1"/>
  <c r="K485" i="1"/>
  <c r="L485" i="1"/>
  <c r="P485" i="1" s="1"/>
  <c r="K484" i="1"/>
  <c r="L484" i="1"/>
  <c r="P484" i="1" s="1"/>
  <c r="K483" i="1"/>
  <c r="L483" i="1"/>
  <c r="P483" i="1" s="1"/>
  <c r="K482" i="1"/>
  <c r="L482" i="1"/>
  <c r="P482" i="1" s="1"/>
  <c r="K481" i="1"/>
  <c r="L481" i="1"/>
  <c r="P481" i="1" s="1"/>
  <c r="K480" i="1"/>
  <c r="L480" i="1"/>
  <c r="P480" i="1" s="1"/>
  <c r="K479" i="1"/>
  <c r="L479" i="1"/>
  <c r="P479" i="1" s="1"/>
  <c r="K478" i="1"/>
  <c r="L478" i="1"/>
  <c r="P478" i="1" s="1"/>
  <c r="K395" i="1"/>
  <c r="L395" i="1"/>
  <c r="P395" i="1" s="1"/>
  <c r="L392" i="1"/>
  <c r="P392" i="1" s="1"/>
  <c r="K392" i="1"/>
  <c r="L389" i="1"/>
  <c r="P389" i="1" s="1"/>
  <c r="K389" i="1"/>
  <c r="L384" i="1"/>
  <c r="P384" i="1" s="1"/>
  <c r="K384" i="1"/>
  <c r="K383" i="1"/>
  <c r="L383" i="1"/>
  <c r="P383" i="1" s="1"/>
  <c r="K381" i="1"/>
  <c r="L381" i="1"/>
  <c r="P381" i="1" s="1"/>
  <c r="K373" i="1"/>
  <c r="L373" i="1"/>
  <c r="P373" i="1" s="1"/>
  <c r="L366" i="1"/>
  <c r="P366" i="1" s="1"/>
  <c r="K366" i="1"/>
  <c r="K477" i="1"/>
  <c r="L477" i="1"/>
  <c r="P477" i="1" s="1"/>
  <c r="K476" i="1"/>
  <c r="L476" i="1"/>
  <c r="P476" i="1" s="1"/>
  <c r="K475" i="1"/>
  <c r="L475" i="1"/>
  <c r="P475" i="1" s="1"/>
  <c r="K474" i="1"/>
  <c r="L474" i="1"/>
  <c r="P474" i="1" s="1"/>
  <c r="K473" i="1"/>
  <c r="L473" i="1"/>
  <c r="P473" i="1" s="1"/>
  <c r="K472" i="1"/>
  <c r="L472" i="1"/>
  <c r="P472" i="1" s="1"/>
  <c r="K471" i="1"/>
  <c r="L471" i="1"/>
  <c r="P471" i="1" s="1"/>
  <c r="K470" i="1"/>
  <c r="L470" i="1"/>
  <c r="P470" i="1" s="1"/>
  <c r="K469" i="1"/>
  <c r="L469" i="1"/>
  <c r="P469" i="1" s="1"/>
  <c r="K468" i="1"/>
  <c r="L468" i="1"/>
  <c r="P468" i="1" s="1"/>
  <c r="K467" i="1"/>
  <c r="L467" i="1"/>
  <c r="P467" i="1" s="1"/>
  <c r="K466" i="1"/>
  <c r="L466" i="1"/>
  <c r="P466" i="1" s="1"/>
  <c r="K465" i="1"/>
  <c r="L465" i="1"/>
  <c r="P465" i="1" s="1"/>
  <c r="K464" i="1"/>
  <c r="L464" i="1"/>
  <c r="P464" i="1" s="1"/>
  <c r="K463" i="1"/>
  <c r="L463" i="1"/>
  <c r="P463" i="1" s="1"/>
  <c r="K462" i="1"/>
  <c r="L462" i="1"/>
  <c r="P462" i="1" s="1"/>
  <c r="K461" i="1"/>
  <c r="L461" i="1"/>
  <c r="P461" i="1" s="1"/>
  <c r="K460" i="1"/>
  <c r="L460" i="1"/>
  <c r="P460" i="1" s="1"/>
  <c r="K459" i="1"/>
  <c r="L459" i="1"/>
  <c r="P459" i="1" s="1"/>
  <c r="K458" i="1"/>
  <c r="L458" i="1"/>
  <c r="P458" i="1" s="1"/>
  <c r="K457" i="1"/>
  <c r="L457" i="1"/>
  <c r="P457" i="1" s="1"/>
  <c r="K456" i="1"/>
  <c r="L456" i="1"/>
  <c r="P456" i="1" s="1"/>
  <c r="K455" i="1"/>
  <c r="L455" i="1"/>
  <c r="P455" i="1" s="1"/>
  <c r="K454" i="1"/>
  <c r="L454" i="1"/>
  <c r="P454" i="1" s="1"/>
  <c r="K453" i="1"/>
  <c r="L453" i="1"/>
  <c r="P453" i="1" s="1"/>
  <c r="K452" i="1"/>
  <c r="L452" i="1"/>
  <c r="P452" i="1" s="1"/>
  <c r="K451" i="1"/>
  <c r="L451" i="1"/>
  <c r="P451" i="1" s="1"/>
  <c r="K450" i="1"/>
  <c r="L450" i="1"/>
  <c r="P450" i="1" s="1"/>
  <c r="K449" i="1"/>
  <c r="L449" i="1"/>
  <c r="P449" i="1" s="1"/>
  <c r="K448" i="1"/>
  <c r="L448" i="1"/>
  <c r="P448" i="1" s="1"/>
  <c r="K447" i="1"/>
  <c r="L447" i="1"/>
  <c r="P447" i="1" s="1"/>
  <c r="K446" i="1"/>
  <c r="L446" i="1"/>
  <c r="P446" i="1" s="1"/>
  <c r="K445" i="1"/>
  <c r="L445" i="1"/>
  <c r="P445" i="1" s="1"/>
  <c r="K444" i="1"/>
  <c r="L444" i="1"/>
  <c r="P444" i="1" s="1"/>
  <c r="K443" i="1"/>
  <c r="L443" i="1"/>
  <c r="P443" i="1" s="1"/>
  <c r="K442" i="1"/>
  <c r="L442" i="1"/>
  <c r="P442" i="1" s="1"/>
  <c r="K441" i="1"/>
  <c r="L441" i="1"/>
  <c r="P441" i="1" s="1"/>
  <c r="K440" i="1"/>
  <c r="L440" i="1"/>
  <c r="P440" i="1" s="1"/>
  <c r="K439" i="1"/>
  <c r="L439" i="1"/>
  <c r="P439" i="1" s="1"/>
  <c r="K438" i="1"/>
  <c r="L438" i="1"/>
  <c r="P438" i="1" s="1"/>
  <c r="K437" i="1"/>
  <c r="L437" i="1"/>
  <c r="P437" i="1" s="1"/>
  <c r="K436" i="1"/>
  <c r="L436" i="1"/>
  <c r="P436" i="1" s="1"/>
  <c r="K435" i="1"/>
  <c r="L435" i="1"/>
  <c r="P435" i="1" s="1"/>
  <c r="K434" i="1"/>
  <c r="L434" i="1"/>
  <c r="P434" i="1" s="1"/>
  <c r="K433" i="1"/>
  <c r="L433" i="1"/>
  <c r="P433" i="1" s="1"/>
  <c r="K432" i="1"/>
  <c r="L432" i="1"/>
  <c r="P432" i="1" s="1"/>
  <c r="K431" i="1"/>
  <c r="L431" i="1"/>
  <c r="P431" i="1" s="1"/>
  <c r="K430" i="1"/>
  <c r="L430" i="1"/>
  <c r="P430" i="1" s="1"/>
  <c r="K429" i="1"/>
  <c r="L429" i="1"/>
  <c r="P429" i="1" s="1"/>
  <c r="K428" i="1"/>
  <c r="L428" i="1"/>
  <c r="P428" i="1" s="1"/>
  <c r="K427" i="1"/>
  <c r="L427" i="1"/>
  <c r="P427" i="1" s="1"/>
  <c r="K426" i="1"/>
  <c r="L426" i="1"/>
  <c r="P426" i="1" s="1"/>
  <c r="K425" i="1"/>
  <c r="L425" i="1"/>
  <c r="P425" i="1" s="1"/>
  <c r="K424" i="1"/>
  <c r="L424" i="1"/>
  <c r="P424" i="1" s="1"/>
  <c r="K423" i="1"/>
  <c r="L423" i="1"/>
  <c r="P423" i="1" s="1"/>
  <c r="K422" i="1"/>
  <c r="L422" i="1"/>
  <c r="P422" i="1" s="1"/>
  <c r="K421" i="1"/>
  <c r="L421" i="1"/>
  <c r="P421" i="1" s="1"/>
  <c r="K420" i="1"/>
  <c r="L420" i="1"/>
  <c r="P420" i="1" s="1"/>
  <c r="K419" i="1"/>
  <c r="L419" i="1"/>
  <c r="P419" i="1" s="1"/>
  <c r="K396" i="1"/>
  <c r="L396" i="1"/>
  <c r="P396" i="1" s="1"/>
  <c r="L394" i="1"/>
  <c r="P394" i="1" s="1"/>
  <c r="K394" i="1"/>
  <c r="L393" i="1"/>
  <c r="P393" i="1" s="1"/>
  <c r="K393" i="1"/>
  <c r="L387" i="1"/>
  <c r="P387" i="1" s="1"/>
  <c r="K387" i="1"/>
  <c r="K377" i="1"/>
  <c r="L377" i="1"/>
  <c r="P377" i="1" s="1"/>
  <c r="K370" i="1"/>
  <c r="L370" i="1"/>
  <c r="P370" i="1" s="1"/>
  <c r="K367" i="1"/>
  <c r="L367" i="1"/>
  <c r="P367" i="1" s="1"/>
  <c r="K417" i="1"/>
  <c r="L417" i="1"/>
  <c r="P417" i="1" s="1"/>
  <c r="K416" i="1"/>
  <c r="L416" i="1"/>
  <c r="P416" i="1" s="1"/>
  <c r="K415" i="1"/>
  <c r="L415" i="1"/>
  <c r="P415" i="1" s="1"/>
  <c r="K414" i="1"/>
  <c r="L414" i="1"/>
  <c r="P414" i="1" s="1"/>
  <c r="K413" i="1"/>
  <c r="L413" i="1"/>
  <c r="P413" i="1" s="1"/>
  <c r="K412" i="1"/>
  <c r="L412" i="1"/>
  <c r="P412" i="1" s="1"/>
  <c r="K411" i="1"/>
  <c r="L411" i="1"/>
  <c r="P411" i="1" s="1"/>
  <c r="K410" i="1"/>
  <c r="L410" i="1"/>
  <c r="P410" i="1" s="1"/>
  <c r="K409" i="1"/>
  <c r="L409" i="1"/>
  <c r="P409" i="1" s="1"/>
  <c r="K408" i="1"/>
  <c r="L408" i="1"/>
  <c r="P408" i="1" s="1"/>
  <c r="K407" i="1"/>
  <c r="L407" i="1"/>
  <c r="P407" i="1" s="1"/>
  <c r="K406" i="1"/>
  <c r="L406" i="1"/>
  <c r="P406" i="1" s="1"/>
  <c r="K405" i="1"/>
  <c r="L405" i="1"/>
  <c r="P405" i="1" s="1"/>
  <c r="K404" i="1"/>
  <c r="L404" i="1"/>
  <c r="P404" i="1" s="1"/>
  <c r="K403" i="1"/>
  <c r="L403" i="1"/>
  <c r="P403" i="1" s="1"/>
  <c r="K402" i="1"/>
  <c r="L402" i="1"/>
  <c r="P402" i="1" s="1"/>
  <c r="K401" i="1"/>
  <c r="L401" i="1"/>
  <c r="P401" i="1" s="1"/>
  <c r="K400" i="1"/>
  <c r="L400" i="1"/>
  <c r="P400" i="1" s="1"/>
  <c r="K399" i="1"/>
  <c r="L399" i="1"/>
  <c r="P399" i="1" s="1"/>
  <c r="K398" i="1"/>
  <c r="L398" i="1"/>
  <c r="P398" i="1" s="1"/>
  <c r="K397" i="1"/>
  <c r="L397" i="1"/>
  <c r="P397" i="1" s="1"/>
  <c r="K391" i="1"/>
  <c r="L391" i="1"/>
  <c r="P391" i="1" s="1"/>
  <c r="K390" i="1"/>
  <c r="L390" i="1"/>
  <c r="P390" i="1" s="1"/>
  <c r="L388" i="1"/>
  <c r="P388" i="1" s="1"/>
  <c r="K388" i="1"/>
  <c r="K386" i="1"/>
  <c r="L386" i="1"/>
  <c r="P386" i="1" s="1"/>
  <c r="K385" i="1"/>
  <c r="L385" i="1"/>
  <c r="P385" i="1" s="1"/>
  <c r="L362" i="1"/>
  <c r="P362" i="1" s="1"/>
  <c r="K362" i="1"/>
  <c r="K358" i="1"/>
  <c r="L358" i="1"/>
  <c r="P358" i="1" s="1"/>
  <c r="K357" i="1"/>
  <c r="L357" i="1"/>
  <c r="P357" i="1" s="1"/>
  <c r="K356" i="1"/>
  <c r="L356" i="1"/>
  <c r="P356" i="1" s="1"/>
  <c r="K355" i="1"/>
  <c r="L355" i="1"/>
  <c r="P355" i="1" s="1"/>
  <c r="K354" i="1"/>
  <c r="L354" i="1"/>
  <c r="P354" i="1" s="1"/>
  <c r="K353" i="1"/>
  <c r="L353" i="1"/>
  <c r="P353" i="1" s="1"/>
  <c r="K352" i="1"/>
  <c r="L352" i="1"/>
  <c r="P352" i="1" s="1"/>
  <c r="K351" i="1"/>
  <c r="L351" i="1"/>
  <c r="P351" i="1" s="1"/>
  <c r="K350" i="1"/>
  <c r="L350" i="1"/>
  <c r="P350" i="1" s="1"/>
  <c r="K349" i="1"/>
  <c r="L349" i="1"/>
  <c r="P349" i="1" s="1"/>
  <c r="K348" i="1"/>
  <c r="L348" i="1"/>
  <c r="P348" i="1" s="1"/>
  <c r="K347" i="1"/>
  <c r="L347" i="1"/>
  <c r="P347" i="1" s="1"/>
  <c r="K346" i="1"/>
  <c r="L346" i="1"/>
  <c r="P346" i="1" s="1"/>
  <c r="K345" i="1"/>
  <c r="L345" i="1"/>
  <c r="P345" i="1" s="1"/>
  <c r="K344" i="1"/>
  <c r="L344" i="1"/>
  <c r="P344" i="1" s="1"/>
  <c r="K343" i="1"/>
  <c r="L343" i="1"/>
  <c r="P343" i="1" s="1"/>
  <c r="K342" i="1"/>
  <c r="L342" i="1"/>
  <c r="P342" i="1" s="1"/>
  <c r="K341" i="1"/>
  <c r="L341" i="1"/>
  <c r="P341" i="1" s="1"/>
  <c r="K340" i="1"/>
  <c r="L340" i="1"/>
  <c r="P340" i="1" s="1"/>
  <c r="K339" i="1"/>
  <c r="L339" i="1"/>
  <c r="P339" i="1" s="1"/>
  <c r="K338" i="1"/>
  <c r="L338" i="1"/>
  <c r="P338" i="1" s="1"/>
  <c r="K337" i="1"/>
  <c r="L337" i="1"/>
  <c r="P337" i="1" s="1"/>
  <c r="K336" i="1"/>
  <c r="L336" i="1"/>
  <c r="P336" i="1" s="1"/>
  <c r="K335" i="1"/>
  <c r="L335" i="1"/>
  <c r="P335" i="1" s="1"/>
  <c r="K334" i="1"/>
  <c r="L334" i="1"/>
  <c r="P334" i="1" s="1"/>
  <c r="K333" i="1"/>
  <c r="L333" i="1"/>
  <c r="P333" i="1" s="1"/>
  <c r="K332" i="1"/>
  <c r="L332" i="1"/>
  <c r="P332" i="1" s="1"/>
  <c r="K331" i="1"/>
  <c r="L331" i="1"/>
  <c r="P331" i="1" s="1"/>
  <c r="K330" i="1"/>
  <c r="L330" i="1"/>
  <c r="P330" i="1" s="1"/>
  <c r="K329" i="1"/>
  <c r="L329" i="1"/>
  <c r="P329" i="1" s="1"/>
  <c r="K328" i="1"/>
  <c r="L328" i="1"/>
  <c r="P328" i="1" s="1"/>
  <c r="K327" i="1"/>
  <c r="L327" i="1"/>
  <c r="P327" i="1" s="1"/>
  <c r="K326" i="1"/>
  <c r="L326" i="1"/>
  <c r="P326" i="1" s="1"/>
  <c r="K325" i="1"/>
  <c r="L325" i="1"/>
  <c r="P325" i="1" s="1"/>
  <c r="K324" i="1"/>
  <c r="L324" i="1"/>
  <c r="P324" i="1" s="1"/>
  <c r="K323" i="1"/>
  <c r="L323" i="1"/>
  <c r="P323" i="1" s="1"/>
  <c r="K322" i="1"/>
  <c r="L322" i="1"/>
  <c r="P322" i="1" s="1"/>
  <c r="K321" i="1"/>
  <c r="L321" i="1"/>
  <c r="P321" i="1" s="1"/>
  <c r="K320" i="1"/>
  <c r="L320" i="1"/>
  <c r="P320" i="1" s="1"/>
  <c r="K319" i="1"/>
  <c r="L319" i="1"/>
  <c r="P319" i="1" s="1"/>
  <c r="K318" i="1"/>
  <c r="L318" i="1"/>
  <c r="P318" i="1" s="1"/>
  <c r="K317" i="1"/>
  <c r="L317" i="1"/>
  <c r="P317" i="1" s="1"/>
  <c r="K316" i="1"/>
  <c r="L316" i="1"/>
  <c r="P316" i="1" s="1"/>
  <c r="K315" i="1"/>
  <c r="L315" i="1"/>
  <c r="P315" i="1" s="1"/>
  <c r="K314" i="1"/>
  <c r="L314" i="1"/>
  <c r="P314" i="1" s="1"/>
  <c r="K313" i="1"/>
  <c r="L313" i="1"/>
  <c r="P313" i="1" s="1"/>
  <c r="K312" i="1"/>
  <c r="L312" i="1"/>
  <c r="P312" i="1" s="1"/>
  <c r="K311" i="1"/>
  <c r="L311" i="1"/>
  <c r="P311" i="1" s="1"/>
  <c r="K310" i="1"/>
  <c r="L310" i="1"/>
  <c r="P310" i="1" s="1"/>
  <c r="K309" i="1"/>
  <c r="L309" i="1"/>
  <c r="P309" i="1" s="1"/>
  <c r="K308" i="1"/>
  <c r="L308" i="1"/>
  <c r="P308" i="1" s="1"/>
  <c r="K307" i="1"/>
  <c r="L307" i="1"/>
  <c r="P307" i="1" s="1"/>
  <c r="K306" i="1"/>
  <c r="L306" i="1"/>
  <c r="P306" i="1" s="1"/>
  <c r="K305" i="1"/>
  <c r="L305" i="1"/>
  <c r="P305" i="1" s="1"/>
  <c r="K304" i="1"/>
  <c r="L304" i="1"/>
  <c r="P304" i="1" s="1"/>
  <c r="K303" i="1"/>
  <c r="L303" i="1"/>
  <c r="P303" i="1" s="1"/>
  <c r="K302" i="1"/>
  <c r="L302" i="1"/>
  <c r="P302" i="1" s="1"/>
  <c r="K301" i="1"/>
  <c r="L301" i="1"/>
  <c r="P301" i="1" s="1"/>
  <c r="K300" i="1"/>
  <c r="L300" i="1"/>
  <c r="P300" i="1" s="1"/>
  <c r="K251" i="1"/>
  <c r="L251" i="1"/>
  <c r="P251" i="1" s="1"/>
  <c r="K247" i="1"/>
  <c r="L247" i="1"/>
  <c r="P247" i="1" s="1"/>
  <c r="K245" i="1"/>
  <c r="L245" i="1"/>
  <c r="P245" i="1" s="1"/>
  <c r="K243" i="1"/>
  <c r="L243" i="1"/>
  <c r="P243" i="1" s="1"/>
  <c r="K241" i="1"/>
  <c r="L241" i="1"/>
  <c r="P241" i="1" s="1"/>
  <c r="L182" i="1"/>
  <c r="P182" i="1" s="1"/>
  <c r="K182" i="1"/>
  <c r="K181" i="1"/>
  <c r="L181" i="1"/>
  <c r="P181" i="1" s="1"/>
  <c r="L125" i="1"/>
  <c r="P125" i="1" s="1"/>
  <c r="K125" i="1"/>
  <c r="L121" i="1"/>
  <c r="P121" i="1" s="1"/>
  <c r="K121" i="1"/>
  <c r="L547" i="1"/>
  <c r="P547" i="1" s="1"/>
  <c r="K547" i="1"/>
  <c r="L538" i="1"/>
  <c r="P538" i="1" s="1"/>
  <c r="K538" i="1"/>
  <c r="L382" i="1"/>
  <c r="P382" i="1" s="1"/>
  <c r="K382" i="1"/>
  <c r="L359" i="1"/>
  <c r="P359" i="1" s="1"/>
  <c r="K359" i="1"/>
  <c r="K298" i="1"/>
  <c r="L298" i="1"/>
  <c r="P298" i="1" s="1"/>
  <c r="K297" i="1"/>
  <c r="L297" i="1"/>
  <c r="P297" i="1" s="1"/>
  <c r="K296" i="1"/>
  <c r="L296" i="1"/>
  <c r="P296" i="1" s="1"/>
  <c r="K295" i="1"/>
  <c r="L295" i="1"/>
  <c r="P295" i="1" s="1"/>
  <c r="K294" i="1"/>
  <c r="L294" i="1"/>
  <c r="P294" i="1" s="1"/>
  <c r="K293" i="1"/>
  <c r="L293" i="1"/>
  <c r="P293" i="1" s="1"/>
  <c r="K292" i="1"/>
  <c r="L292" i="1"/>
  <c r="P292" i="1" s="1"/>
  <c r="K291" i="1"/>
  <c r="L291" i="1"/>
  <c r="P291" i="1" s="1"/>
  <c r="K290" i="1"/>
  <c r="L290" i="1"/>
  <c r="P290" i="1" s="1"/>
  <c r="K289" i="1"/>
  <c r="L289" i="1"/>
  <c r="P289" i="1" s="1"/>
  <c r="K288" i="1"/>
  <c r="L288" i="1"/>
  <c r="P288" i="1" s="1"/>
  <c r="K287" i="1"/>
  <c r="L287" i="1"/>
  <c r="P287" i="1" s="1"/>
  <c r="K286" i="1"/>
  <c r="L286" i="1"/>
  <c r="P286" i="1" s="1"/>
  <c r="K285" i="1"/>
  <c r="L285" i="1"/>
  <c r="P285" i="1" s="1"/>
  <c r="K284" i="1"/>
  <c r="L284" i="1"/>
  <c r="P284" i="1" s="1"/>
  <c r="K283" i="1"/>
  <c r="L283" i="1"/>
  <c r="P283" i="1" s="1"/>
  <c r="K282" i="1"/>
  <c r="L282" i="1"/>
  <c r="P282" i="1" s="1"/>
  <c r="K281" i="1"/>
  <c r="L281" i="1"/>
  <c r="P281" i="1" s="1"/>
  <c r="K280" i="1"/>
  <c r="L280" i="1"/>
  <c r="P280" i="1" s="1"/>
  <c r="K279" i="1"/>
  <c r="L279" i="1"/>
  <c r="P279" i="1" s="1"/>
  <c r="K278" i="1"/>
  <c r="L278" i="1"/>
  <c r="P278" i="1" s="1"/>
  <c r="K277" i="1"/>
  <c r="L277" i="1"/>
  <c r="P277" i="1" s="1"/>
  <c r="K276" i="1"/>
  <c r="L276" i="1"/>
  <c r="P276" i="1" s="1"/>
  <c r="K275" i="1"/>
  <c r="L275" i="1"/>
  <c r="P275" i="1" s="1"/>
  <c r="K274" i="1"/>
  <c r="L274" i="1"/>
  <c r="P274" i="1" s="1"/>
  <c r="K273" i="1"/>
  <c r="L273" i="1"/>
  <c r="P273" i="1" s="1"/>
  <c r="K272" i="1"/>
  <c r="L272" i="1"/>
  <c r="P272" i="1" s="1"/>
  <c r="K271" i="1"/>
  <c r="L271" i="1"/>
  <c r="P271" i="1" s="1"/>
  <c r="K270" i="1"/>
  <c r="L270" i="1"/>
  <c r="P270" i="1" s="1"/>
  <c r="K269" i="1"/>
  <c r="L269" i="1"/>
  <c r="P269" i="1" s="1"/>
  <c r="K268" i="1"/>
  <c r="L268" i="1"/>
  <c r="P268" i="1" s="1"/>
  <c r="K267" i="1"/>
  <c r="L267" i="1"/>
  <c r="P267" i="1" s="1"/>
  <c r="K266" i="1"/>
  <c r="L266" i="1"/>
  <c r="P266" i="1" s="1"/>
  <c r="K265" i="1"/>
  <c r="L265" i="1"/>
  <c r="P265" i="1" s="1"/>
  <c r="K264" i="1"/>
  <c r="L264" i="1"/>
  <c r="P264" i="1" s="1"/>
  <c r="K263" i="1"/>
  <c r="L263" i="1"/>
  <c r="P263" i="1" s="1"/>
  <c r="K262" i="1"/>
  <c r="L262" i="1"/>
  <c r="P262" i="1" s="1"/>
  <c r="K261" i="1"/>
  <c r="L261" i="1"/>
  <c r="P261" i="1" s="1"/>
  <c r="K260" i="1"/>
  <c r="L260" i="1"/>
  <c r="P260" i="1" s="1"/>
  <c r="K259" i="1"/>
  <c r="L259" i="1"/>
  <c r="P259" i="1" s="1"/>
  <c r="K258" i="1"/>
  <c r="L258" i="1"/>
  <c r="P258" i="1" s="1"/>
  <c r="K257" i="1"/>
  <c r="L257" i="1"/>
  <c r="P257" i="1" s="1"/>
  <c r="K256" i="1"/>
  <c r="L256" i="1"/>
  <c r="P256" i="1" s="1"/>
  <c r="K255" i="1"/>
  <c r="L255" i="1"/>
  <c r="P255" i="1" s="1"/>
  <c r="K254" i="1"/>
  <c r="L254" i="1"/>
  <c r="P254" i="1" s="1"/>
  <c r="K253" i="1"/>
  <c r="L253" i="1"/>
  <c r="P253" i="1" s="1"/>
  <c r="K252" i="1"/>
  <c r="L252" i="1"/>
  <c r="P252" i="1" s="1"/>
  <c r="K250" i="1"/>
  <c r="L250" i="1"/>
  <c r="P250" i="1" s="1"/>
  <c r="L249" i="1"/>
  <c r="P249" i="1" s="1"/>
  <c r="K249" i="1"/>
  <c r="K248" i="1"/>
  <c r="L248" i="1"/>
  <c r="P248" i="1" s="1"/>
  <c r="L246" i="1"/>
  <c r="P246" i="1" s="1"/>
  <c r="K246" i="1"/>
  <c r="K244" i="1"/>
  <c r="L244" i="1"/>
  <c r="P244" i="1" s="1"/>
  <c r="L242" i="1"/>
  <c r="P242" i="1" s="1"/>
  <c r="K242" i="1"/>
  <c r="L240" i="1"/>
  <c r="P240" i="1" s="1"/>
  <c r="K240" i="1"/>
  <c r="L580" i="1"/>
  <c r="P580" i="1" s="1"/>
  <c r="K580" i="1"/>
  <c r="L577" i="1"/>
  <c r="P577" i="1" s="1"/>
  <c r="K577" i="1"/>
  <c r="L575" i="1"/>
  <c r="P575" i="1" s="1"/>
  <c r="K575" i="1"/>
  <c r="L572" i="1"/>
  <c r="P572" i="1" s="1"/>
  <c r="K572" i="1"/>
  <c r="K569" i="1"/>
  <c r="L569" i="1"/>
  <c r="P569" i="1" s="1"/>
  <c r="K566" i="1"/>
  <c r="L566" i="1"/>
  <c r="P566" i="1" s="1"/>
  <c r="L564" i="1"/>
  <c r="P564" i="1" s="1"/>
  <c r="K564" i="1"/>
  <c r="K562" i="1"/>
  <c r="L562" i="1"/>
  <c r="P562" i="1" s="1"/>
  <c r="K556" i="1"/>
  <c r="L556" i="1"/>
  <c r="P556" i="1" s="1"/>
  <c r="K554" i="1"/>
  <c r="L554" i="1"/>
  <c r="P554" i="1" s="1"/>
  <c r="L374" i="1"/>
  <c r="P374" i="1" s="1"/>
  <c r="K374" i="1"/>
  <c r="K361" i="1"/>
  <c r="L361" i="1"/>
  <c r="P361" i="1" s="1"/>
  <c r="K239" i="1"/>
  <c r="L239" i="1"/>
  <c r="P239" i="1" s="1"/>
  <c r="K238" i="1"/>
  <c r="L238" i="1"/>
  <c r="P238" i="1" s="1"/>
  <c r="K237" i="1"/>
  <c r="L237" i="1"/>
  <c r="P237" i="1" s="1"/>
  <c r="K236" i="1"/>
  <c r="L236" i="1"/>
  <c r="P236" i="1" s="1"/>
  <c r="K235" i="1"/>
  <c r="L235" i="1"/>
  <c r="P235" i="1" s="1"/>
  <c r="K234" i="1"/>
  <c r="L234" i="1"/>
  <c r="P234" i="1" s="1"/>
  <c r="K233" i="1"/>
  <c r="L233" i="1"/>
  <c r="P233" i="1" s="1"/>
  <c r="K232" i="1"/>
  <c r="L232" i="1"/>
  <c r="P232" i="1" s="1"/>
  <c r="K231" i="1"/>
  <c r="L231" i="1"/>
  <c r="P231" i="1" s="1"/>
  <c r="K230" i="1"/>
  <c r="L230" i="1"/>
  <c r="P230" i="1" s="1"/>
  <c r="K229" i="1"/>
  <c r="L229" i="1"/>
  <c r="P229" i="1" s="1"/>
  <c r="K228" i="1"/>
  <c r="L228" i="1"/>
  <c r="P228" i="1" s="1"/>
  <c r="K227" i="1"/>
  <c r="L227" i="1"/>
  <c r="P227" i="1" s="1"/>
  <c r="K226" i="1"/>
  <c r="L226" i="1"/>
  <c r="P226" i="1" s="1"/>
  <c r="K225" i="1"/>
  <c r="L225" i="1"/>
  <c r="P225" i="1" s="1"/>
  <c r="K224" i="1"/>
  <c r="L224" i="1"/>
  <c r="P224" i="1" s="1"/>
  <c r="K223" i="1"/>
  <c r="L223" i="1"/>
  <c r="P223" i="1" s="1"/>
  <c r="K222" i="1"/>
  <c r="L222" i="1"/>
  <c r="P222" i="1" s="1"/>
  <c r="K221" i="1"/>
  <c r="L221" i="1"/>
  <c r="P221" i="1" s="1"/>
  <c r="K220" i="1"/>
  <c r="L220" i="1"/>
  <c r="P220" i="1" s="1"/>
  <c r="K219" i="1"/>
  <c r="L219" i="1"/>
  <c r="P219" i="1" s="1"/>
  <c r="K218" i="1"/>
  <c r="L218" i="1"/>
  <c r="P218" i="1" s="1"/>
  <c r="K217" i="1"/>
  <c r="L217" i="1"/>
  <c r="P217" i="1" s="1"/>
  <c r="K216" i="1"/>
  <c r="L216" i="1"/>
  <c r="P216" i="1" s="1"/>
  <c r="K215" i="1"/>
  <c r="L215" i="1"/>
  <c r="P215" i="1" s="1"/>
  <c r="K214" i="1"/>
  <c r="L214" i="1"/>
  <c r="P214" i="1" s="1"/>
  <c r="K213" i="1"/>
  <c r="L213" i="1"/>
  <c r="P213" i="1" s="1"/>
  <c r="K212" i="1"/>
  <c r="L212" i="1"/>
  <c r="P212" i="1" s="1"/>
  <c r="K211" i="1"/>
  <c r="L211" i="1"/>
  <c r="P211" i="1" s="1"/>
  <c r="K210" i="1"/>
  <c r="L210" i="1"/>
  <c r="P210" i="1" s="1"/>
  <c r="K209" i="1"/>
  <c r="L209" i="1"/>
  <c r="P209" i="1" s="1"/>
  <c r="K208" i="1"/>
  <c r="L208" i="1"/>
  <c r="P208" i="1" s="1"/>
  <c r="K207" i="1"/>
  <c r="L207" i="1"/>
  <c r="P207" i="1" s="1"/>
  <c r="K206" i="1"/>
  <c r="L206" i="1"/>
  <c r="P206" i="1" s="1"/>
  <c r="K205" i="1"/>
  <c r="L205" i="1"/>
  <c r="P205" i="1" s="1"/>
  <c r="K204" i="1"/>
  <c r="L204" i="1"/>
  <c r="P204" i="1" s="1"/>
  <c r="K203" i="1"/>
  <c r="L203" i="1"/>
  <c r="P203" i="1" s="1"/>
  <c r="K202" i="1"/>
  <c r="L202" i="1"/>
  <c r="P202" i="1" s="1"/>
  <c r="K201" i="1"/>
  <c r="L201" i="1"/>
  <c r="P201" i="1" s="1"/>
  <c r="K200" i="1"/>
  <c r="L200" i="1"/>
  <c r="P200" i="1" s="1"/>
  <c r="K199" i="1"/>
  <c r="L199" i="1"/>
  <c r="P199" i="1" s="1"/>
  <c r="K198" i="1"/>
  <c r="L198" i="1"/>
  <c r="P198" i="1" s="1"/>
  <c r="K197" i="1"/>
  <c r="L197" i="1"/>
  <c r="P197" i="1" s="1"/>
  <c r="K196" i="1"/>
  <c r="L196" i="1"/>
  <c r="P196" i="1" s="1"/>
  <c r="K195" i="1"/>
  <c r="L195" i="1"/>
  <c r="P195" i="1" s="1"/>
  <c r="K194" i="1"/>
  <c r="L194" i="1"/>
  <c r="P194" i="1" s="1"/>
  <c r="K193" i="1"/>
  <c r="L193" i="1"/>
  <c r="P193" i="1" s="1"/>
  <c r="K192" i="1"/>
  <c r="L192" i="1"/>
  <c r="P192" i="1" s="1"/>
  <c r="K191" i="1"/>
  <c r="L191" i="1"/>
  <c r="P191" i="1" s="1"/>
  <c r="K190" i="1"/>
  <c r="L190" i="1"/>
  <c r="P190" i="1" s="1"/>
  <c r="K189" i="1"/>
  <c r="L189" i="1"/>
  <c r="P189" i="1" s="1"/>
  <c r="K188" i="1"/>
  <c r="L188" i="1"/>
  <c r="P188" i="1" s="1"/>
  <c r="K187" i="1"/>
  <c r="L187" i="1"/>
  <c r="P187" i="1" s="1"/>
  <c r="K186" i="1"/>
  <c r="L186" i="1"/>
  <c r="P186" i="1" s="1"/>
  <c r="K185" i="1"/>
  <c r="L185" i="1"/>
  <c r="P185" i="1" s="1"/>
  <c r="K184" i="1"/>
  <c r="L184" i="1"/>
  <c r="P184" i="1" s="1"/>
  <c r="K183" i="1"/>
  <c r="L183" i="1"/>
  <c r="P183" i="1" s="1"/>
  <c r="K130" i="1"/>
  <c r="L130" i="1"/>
  <c r="P130" i="1" s="1"/>
  <c r="K128" i="1"/>
  <c r="L128" i="1"/>
  <c r="P128" i="1" s="1"/>
  <c r="K126" i="1"/>
  <c r="L126" i="1"/>
  <c r="P126" i="1" s="1"/>
  <c r="K123" i="1"/>
  <c r="L123" i="1"/>
  <c r="P123" i="1" s="1"/>
  <c r="L122" i="1"/>
  <c r="P122" i="1" s="1"/>
  <c r="K122" i="1"/>
  <c r="L598" i="1"/>
  <c r="P598" i="1" s="1"/>
  <c r="K598" i="1"/>
  <c r="K583" i="1"/>
  <c r="L583" i="1"/>
  <c r="P583" i="1" s="1"/>
  <c r="L582" i="1"/>
  <c r="P582" i="1" s="1"/>
  <c r="K582" i="1"/>
  <c r="K579" i="1"/>
  <c r="L579" i="1"/>
  <c r="P579" i="1" s="1"/>
  <c r="L576" i="1"/>
  <c r="P576" i="1" s="1"/>
  <c r="K576" i="1"/>
  <c r="L570" i="1"/>
  <c r="P570" i="1" s="1"/>
  <c r="K570" i="1"/>
  <c r="L568" i="1"/>
  <c r="P568" i="1" s="1"/>
  <c r="K568" i="1"/>
  <c r="L561" i="1"/>
  <c r="P561" i="1" s="1"/>
  <c r="K561" i="1"/>
  <c r="K560" i="1"/>
  <c r="L560" i="1"/>
  <c r="P560" i="1" s="1"/>
  <c r="L557" i="1"/>
  <c r="P557" i="1" s="1"/>
  <c r="K557" i="1"/>
  <c r="K551" i="1"/>
  <c r="L551" i="1"/>
  <c r="P551" i="1" s="1"/>
  <c r="K550" i="1"/>
  <c r="L550" i="1"/>
  <c r="P550" i="1" s="1"/>
  <c r="L548" i="1"/>
  <c r="P548" i="1" s="1"/>
  <c r="K548" i="1"/>
  <c r="K545" i="1"/>
  <c r="L545" i="1"/>
  <c r="P545" i="1" s="1"/>
  <c r="K539" i="1"/>
  <c r="L539" i="1"/>
  <c r="P539" i="1" s="1"/>
  <c r="L376" i="1"/>
  <c r="P376" i="1" s="1"/>
  <c r="K376" i="1"/>
  <c r="L364" i="1"/>
  <c r="P364" i="1" s="1"/>
  <c r="K364" i="1"/>
  <c r="K179" i="1"/>
  <c r="L179" i="1"/>
  <c r="P179" i="1" s="1"/>
  <c r="K178" i="1"/>
  <c r="L178" i="1"/>
  <c r="P178" i="1" s="1"/>
  <c r="K177" i="1"/>
  <c r="L177" i="1"/>
  <c r="P177" i="1" s="1"/>
  <c r="K176" i="1"/>
  <c r="L176" i="1"/>
  <c r="P176" i="1" s="1"/>
  <c r="K175" i="1"/>
  <c r="L175" i="1"/>
  <c r="P175" i="1" s="1"/>
  <c r="K174" i="1"/>
  <c r="L174" i="1"/>
  <c r="P174" i="1" s="1"/>
  <c r="K173" i="1"/>
  <c r="L173" i="1"/>
  <c r="P173" i="1" s="1"/>
  <c r="K172" i="1"/>
  <c r="L172" i="1"/>
  <c r="P172" i="1" s="1"/>
  <c r="K171" i="1"/>
  <c r="L171" i="1"/>
  <c r="P171" i="1" s="1"/>
  <c r="K170" i="1"/>
  <c r="L170" i="1"/>
  <c r="P170" i="1" s="1"/>
  <c r="K169" i="1"/>
  <c r="L169" i="1"/>
  <c r="P169" i="1" s="1"/>
  <c r="K168" i="1"/>
  <c r="L168" i="1"/>
  <c r="P168" i="1" s="1"/>
  <c r="K167" i="1"/>
  <c r="L167" i="1"/>
  <c r="P167" i="1" s="1"/>
  <c r="K166" i="1"/>
  <c r="L166" i="1"/>
  <c r="P166" i="1" s="1"/>
  <c r="K165" i="1"/>
  <c r="L165" i="1"/>
  <c r="P165" i="1" s="1"/>
  <c r="K164" i="1"/>
  <c r="L164" i="1"/>
  <c r="P164" i="1" s="1"/>
  <c r="K163" i="1"/>
  <c r="L163" i="1"/>
  <c r="P163" i="1" s="1"/>
  <c r="K162" i="1"/>
  <c r="L162" i="1"/>
  <c r="P162" i="1" s="1"/>
  <c r="K161" i="1"/>
  <c r="L161" i="1"/>
  <c r="P161" i="1" s="1"/>
  <c r="K160" i="1"/>
  <c r="L160" i="1"/>
  <c r="P160" i="1" s="1"/>
  <c r="K159" i="1"/>
  <c r="L159" i="1"/>
  <c r="P159" i="1" s="1"/>
  <c r="K158" i="1"/>
  <c r="L158" i="1"/>
  <c r="P158" i="1" s="1"/>
  <c r="K157" i="1"/>
  <c r="L157" i="1"/>
  <c r="P157" i="1" s="1"/>
  <c r="K156" i="1"/>
  <c r="L156" i="1"/>
  <c r="P156" i="1" s="1"/>
  <c r="K155" i="1"/>
  <c r="L155" i="1"/>
  <c r="P155" i="1" s="1"/>
  <c r="K154" i="1"/>
  <c r="L154" i="1"/>
  <c r="P154" i="1" s="1"/>
  <c r="K153" i="1"/>
  <c r="L153" i="1"/>
  <c r="P153" i="1" s="1"/>
  <c r="K152" i="1"/>
  <c r="L152" i="1"/>
  <c r="P152" i="1" s="1"/>
  <c r="K151" i="1"/>
  <c r="L151" i="1"/>
  <c r="P151" i="1" s="1"/>
  <c r="K150" i="1"/>
  <c r="L150" i="1"/>
  <c r="P150" i="1" s="1"/>
  <c r="K149" i="1"/>
  <c r="L149" i="1"/>
  <c r="P149" i="1" s="1"/>
  <c r="K148" i="1"/>
  <c r="L148" i="1"/>
  <c r="P148" i="1" s="1"/>
  <c r="K147" i="1"/>
  <c r="L147" i="1"/>
  <c r="P147" i="1" s="1"/>
  <c r="K146" i="1"/>
  <c r="L146" i="1"/>
  <c r="P146" i="1" s="1"/>
  <c r="K145" i="1"/>
  <c r="L145" i="1"/>
  <c r="P145" i="1" s="1"/>
  <c r="K144" i="1"/>
  <c r="L144" i="1"/>
  <c r="P144" i="1" s="1"/>
  <c r="K143" i="1"/>
  <c r="L143" i="1"/>
  <c r="P143" i="1" s="1"/>
  <c r="K142" i="1"/>
  <c r="L142" i="1"/>
  <c r="P142" i="1" s="1"/>
  <c r="K141" i="1"/>
  <c r="L141" i="1"/>
  <c r="P141" i="1" s="1"/>
  <c r="K140" i="1"/>
  <c r="L140" i="1"/>
  <c r="P140" i="1" s="1"/>
  <c r="K139" i="1"/>
  <c r="L139" i="1"/>
  <c r="P139" i="1" s="1"/>
  <c r="K138" i="1"/>
  <c r="L138" i="1"/>
  <c r="P138" i="1" s="1"/>
  <c r="K137" i="1"/>
  <c r="L137" i="1"/>
  <c r="P137" i="1" s="1"/>
  <c r="K136" i="1"/>
  <c r="L136" i="1"/>
  <c r="P136" i="1" s="1"/>
  <c r="K135" i="1"/>
  <c r="L135" i="1"/>
  <c r="P135" i="1" s="1"/>
  <c r="K134" i="1"/>
  <c r="L134" i="1"/>
  <c r="P134" i="1" s="1"/>
  <c r="K133" i="1"/>
  <c r="L133" i="1"/>
  <c r="P133" i="1" s="1"/>
  <c r="K132" i="1"/>
  <c r="L132" i="1"/>
  <c r="P132" i="1" s="1"/>
  <c r="K131" i="1"/>
  <c r="L131" i="1"/>
  <c r="P131" i="1" s="1"/>
  <c r="K129" i="1"/>
  <c r="L129" i="1"/>
  <c r="P129" i="1" s="1"/>
  <c r="L127" i="1"/>
  <c r="P127" i="1" s="1"/>
  <c r="K127" i="1"/>
  <c r="K124" i="1"/>
  <c r="L124" i="1"/>
  <c r="P124" i="1" s="1"/>
  <c r="K599" i="1"/>
  <c r="L599" i="1"/>
  <c r="P599" i="1" s="1"/>
  <c r="K581" i="1"/>
  <c r="L581" i="1"/>
  <c r="P581" i="1" s="1"/>
  <c r="L573" i="1"/>
  <c r="P573" i="1" s="1"/>
  <c r="K573" i="1"/>
  <c r="L567" i="1"/>
  <c r="P567" i="1" s="1"/>
  <c r="K567" i="1"/>
  <c r="L563" i="1"/>
  <c r="P563" i="1" s="1"/>
  <c r="K563" i="1"/>
  <c r="K552" i="1"/>
  <c r="L552" i="1"/>
  <c r="P552" i="1" s="1"/>
  <c r="K544" i="1"/>
  <c r="L544" i="1"/>
  <c r="P544" i="1" s="1"/>
  <c r="K540" i="1"/>
  <c r="L540" i="1"/>
  <c r="P540" i="1" s="1"/>
  <c r="K369" i="1"/>
  <c r="L369" i="1"/>
  <c r="P369" i="1" s="1"/>
  <c r="K365" i="1"/>
  <c r="L365" i="1"/>
  <c r="P365" i="1" s="1"/>
  <c r="L363" i="1"/>
  <c r="P363" i="1" s="1"/>
  <c r="K363" i="1"/>
  <c r="K120" i="1"/>
  <c r="L120" i="1"/>
  <c r="P120" i="1" s="1"/>
  <c r="K119" i="1"/>
  <c r="L119" i="1"/>
  <c r="P119" i="1" s="1"/>
  <c r="K118" i="1"/>
  <c r="L118" i="1"/>
  <c r="P118" i="1" s="1"/>
  <c r="K117" i="1"/>
  <c r="L117" i="1"/>
  <c r="P117" i="1" s="1"/>
  <c r="K116" i="1"/>
  <c r="L116" i="1"/>
  <c r="P116" i="1" s="1"/>
  <c r="K115" i="1"/>
  <c r="L115" i="1"/>
  <c r="P115" i="1" s="1"/>
  <c r="K114" i="1"/>
  <c r="L114" i="1"/>
  <c r="P114" i="1" s="1"/>
  <c r="K113" i="1"/>
  <c r="L113" i="1"/>
  <c r="P113" i="1" s="1"/>
  <c r="K112" i="1"/>
  <c r="L112" i="1"/>
  <c r="P112" i="1" s="1"/>
  <c r="K111" i="1"/>
  <c r="L111" i="1"/>
  <c r="P111" i="1" s="1"/>
  <c r="K110" i="1"/>
  <c r="L110" i="1"/>
  <c r="P110" i="1" s="1"/>
  <c r="K109" i="1"/>
  <c r="L109" i="1"/>
  <c r="P109" i="1" s="1"/>
  <c r="K108" i="1"/>
  <c r="L108" i="1"/>
  <c r="P108" i="1" s="1"/>
  <c r="K107" i="1"/>
  <c r="L107" i="1"/>
  <c r="P107" i="1" s="1"/>
  <c r="K106" i="1"/>
  <c r="L106" i="1"/>
  <c r="P106" i="1" s="1"/>
  <c r="K105" i="1"/>
  <c r="L105" i="1"/>
  <c r="P105" i="1" s="1"/>
  <c r="K104" i="1"/>
  <c r="L104" i="1"/>
  <c r="P104" i="1" s="1"/>
  <c r="K103" i="1"/>
  <c r="L103" i="1"/>
  <c r="P103" i="1" s="1"/>
  <c r="K102" i="1"/>
  <c r="L102" i="1"/>
  <c r="P102" i="1" s="1"/>
  <c r="K101" i="1"/>
  <c r="L101" i="1"/>
  <c r="P101" i="1" s="1"/>
  <c r="K100" i="1"/>
  <c r="L100" i="1"/>
  <c r="P100" i="1" s="1"/>
  <c r="K99" i="1"/>
  <c r="L99" i="1"/>
  <c r="P99" i="1" s="1"/>
  <c r="K98" i="1"/>
  <c r="L98" i="1"/>
  <c r="P98" i="1" s="1"/>
  <c r="K97" i="1"/>
  <c r="L97" i="1"/>
  <c r="P97" i="1" s="1"/>
  <c r="K96" i="1"/>
  <c r="L96" i="1"/>
  <c r="P96" i="1" s="1"/>
  <c r="K95" i="1"/>
  <c r="L95" i="1"/>
  <c r="P95" i="1" s="1"/>
  <c r="K94" i="1"/>
  <c r="L94" i="1"/>
  <c r="P94" i="1" s="1"/>
  <c r="K93" i="1"/>
  <c r="L93" i="1"/>
  <c r="P93" i="1" s="1"/>
  <c r="K92" i="1"/>
  <c r="L92" i="1"/>
  <c r="P92" i="1" s="1"/>
  <c r="K91" i="1"/>
  <c r="L91" i="1"/>
  <c r="P91" i="1" s="1"/>
  <c r="K90" i="1"/>
  <c r="L90" i="1"/>
  <c r="P90" i="1" s="1"/>
  <c r="K89" i="1"/>
  <c r="L89" i="1"/>
  <c r="P89" i="1" s="1"/>
  <c r="K88" i="1"/>
  <c r="L88" i="1"/>
  <c r="P88" i="1" s="1"/>
  <c r="K87" i="1"/>
  <c r="L87" i="1"/>
  <c r="P87" i="1" s="1"/>
  <c r="K86" i="1"/>
  <c r="L86" i="1"/>
  <c r="P86" i="1" s="1"/>
  <c r="K85" i="1"/>
  <c r="L85" i="1"/>
  <c r="P85" i="1" s="1"/>
  <c r="K84" i="1"/>
  <c r="L84" i="1"/>
  <c r="P84" i="1" s="1"/>
  <c r="K83" i="1"/>
  <c r="L83" i="1"/>
  <c r="P83" i="1" s="1"/>
  <c r="K82" i="1"/>
  <c r="L82" i="1"/>
  <c r="P82" i="1" s="1"/>
  <c r="K81" i="1"/>
  <c r="L81" i="1"/>
  <c r="P81" i="1" s="1"/>
  <c r="K80" i="1"/>
  <c r="L80" i="1"/>
  <c r="P80" i="1" s="1"/>
  <c r="K79" i="1"/>
  <c r="L79" i="1"/>
  <c r="P79" i="1" s="1"/>
  <c r="K78" i="1"/>
  <c r="L78" i="1"/>
  <c r="P78" i="1" s="1"/>
  <c r="K77" i="1"/>
  <c r="L77" i="1"/>
  <c r="P77" i="1" s="1"/>
  <c r="K76" i="1"/>
  <c r="L76" i="1"/>
  <c r="P76" i="1" s="1"/>
  <c r="K75" i="1"/>
  <c r="L75" i="1"/>
  <c r="P75" i="1" s="1"/>
  <c r="K74" i="1"/>
  <c r="L74" i="1"/>
  <c r="P74" i="1" s="1"/>
  <c r="K73" i="1"/>
  <c r="L73" i="1"/>
  <c r="P73" i="1" s="1"/>
  <c r="K72" i="1"/>
  <c r="L72" i="1"/>
  <c r="P72" i="1" s="1"/>
  <c r="K71" i="1"/>
  <c r="L71" i="1"/>
  <c r="P71" i="1" s="1"/>
  <c r="K70" i="1"/>
  <c r="L70" i="1"/>
  <c r="P70" i="1" s="1"/>
  <c r="K69" i="1"/>
  <c r="L69" i="1"/>
  <c r="P69" i="1" s="1"/>
  <c r="K68" i="1"/>
  <c r="L68" i="1"/>
  <c r="P68" i="1" s="1"/>
  <c r="K67" i="1"/>
  <c r="L67" i="1"/>
  <c r="P67" i="1" s="1"/>
  <c r="K66" i="1"/>
  <c r="L66" i="1"/>
  <c r="P66" i="1" s="1"/>
  <c r="K65" i="1"/>
  <c r="L65" i="1"/>
  <c r="P65" i="1" s="1"/>
  <c r="K64" i="1"/>
  <c r="L64" i="1"/>
  <c r="P64" i="1" s="1"/>
  <c r="K63" i="1"/>
  <c r="L63" i="1"/>
  <c r="P63" i="1" s="1"/>
  <c r="K62" i="1"/>
  <c r="L62" i="1"/>
  <c r="P62" i="1" s="1"/>
  <c r="K9" i="1"/>
  <c r="L9" i="1"/>
  <c r="P9" i="1" s="1"/>
  <c r="K7" i="1"/>
  <c r="L7" i="1"/>
  <c r="P7" i="1" s="1"/>
  <c r="K6" i="1"/>
  <c r="L6" i="1"/>
  <c r="P6" i="1" s="1"/>
  <c r="L4" i="1"/>
  <c r="P4" i="1" s="1"/>
  <c r="K4" i="1"/>
  <c r="K3" i="1"/>
  <c r="L3" i="1"/>
  <c r="P3" i="1" s="1"/>
  <c r="L2" i="1"/>
  <c r="K2" i="1"/>
  <c r="L549" i="1"/>
  <c r="P549" i="1" s="1"/>
  <c r="K549" i="1"/>
  <c r="L546" i="1"/>
  <c r="P546" i="1" s="1"/>
  <c r="K546" i="1"/>
  <c r="L543" i="1"/>
  <c r="P543" i="1" s="1"/>
  <c r="K543" i="1"/>
  <c r="L379" i="1"/>
  <c r="P379" i="1" s="1"/>
  <c r="K379" i="1"/>
  <c r="K378" i="1"/>
  <c r="L378" i="1"/>
  <c r="P378" i="1" s="1"/>
  <c r="L372" i="1"/>
  <c r="P372" i="1" s="1"/>
  <c r="K372" i="1"/>
  <c r="L368" i="1"/>
  <c r="P368" i="1" s="1"/>
  <c r="K368" i="1"/>
  <c r="L360" i="1"/>
  <c r="P360" i="1" s="1"/>
  <c r="K360" i="1"/>
  <c r="K60" i="1"/>
  <c r="L60" i="1"/>
  <c r="P60" i="1" s="1"/>
  <c r="K59" i="1"/>
  <c r="L59" i="1"/>
  <c r="P59" i="1" s="1"/>
  <c r="K58" i="1"/>
  <c r="L58" i="1"/>
  <c r="P58" i="1" s="1"/>
  <c r="K57" i="1"/>
  <c r="L57" i="1"/>
  <c r="P57" i="1" s="1"/>
  <c r="K56" i="1"/>
  <c r="L56" i="1"/>
  <c r="P56" i="1" s="1"/>
  <c r="K55" i="1"/>
  <c r="L55" i="1"/>
  <c r="P55" i="1" s="1"/>
  <c r="K54" i="1"/>
  <c r="L54" i="1"/>
  <c r="P54" i="1" s="1"/>
  <c r="K53" i="1"/>
  <c r="L53" i="1"/>
  <c r="P53" i="1" s="1"/>
  <c r="K52" i="1"/>
  <c r="L52" i="1"/>
  <c r="P52" i="1" s="1"/>
  <c r="K51" i="1"/>
  <c r="L51" i="1"/>
  <c r="P51" i="1" s="1"/>
  <c r="K50" i="1"/>
  <c r="L50" i="1"/>
  <c r="P50" i="1" s="1"/>
  <c r="K49" i="1"/>
  <c r="L49" i="1"/>
  <c r="P49" i="1" s="1"/>
  <c r="K48" i="1"/>
  <c r="L48" i="1"/>
  <c r="P48" i="1" s="1"/>
  <c r="K47" i="1"/>
  <c r="L47" i="1"/>
  <c r="P47" i="1" s="1"/>
  <c r="K46" i="1"/>
  <c r="L46" i="1"/>
  <c r="P46" i="1" s="1"/>
  <c r="K45" i="1"/>
  <c r="L45" i="1"/>
  <c r="P45" i="1" s="1"/>
  <c r="K44" i="1"/>
  <c r="L44" i="1"/>
  <c r="P44" i="1" s="1"/>
  <c r="K43" i="1"/>
  <c r="L43" i="1"/>
  <c r="P43" i="1" s="1"/>
  <c r="K42" i="1"/>
  <c r="L42" i="1"/>
  <c r="P42" i="1" s="1"/>
  <c r="K41" i="1"/>
  <c r="L41" i="1"/>
  <c r="P41" i="1" s="1"/>
  <c r="K40" i="1"/>
  <c r="L40" i="1"/>
  <c r="P40" i="1" s="1"/>
  <c r="K39" i="1"/>
  <c r="L39" i="1"/>
  <c r="P39" i="1" s="1"/>
  <c r="K38" i="1"/>
  <c r="L38" i="1"/>
  <c r="P38" i="1" s="1"/>
  <c r="K37" i="1"/>
  <c r="L37" i="1"/>
  <c r="P37" i="1" s="1"/>
  <c r="K36" i="1"/>
  <c r="L36" i="1"/>
  <c r="P36" i="1" s="1"/>
  <c r="K35" i="1"/>
  <c r="L35" i="1"/>
  <c r="P35" i="1" s="1"/>
  <c r="K34" i="1"/>
  <c r="L34" i="1"/>
  <c r="P34" i="1" s="1"/>
  <c r="K33" i="1"/>
  <c r="L33" i="1"/>
  <c r="P33" i="1" s="1"/>
  <c r="K32" i="1"/>
  <c r="L32" i="1"/>
  <c r="P32" i="1" s="1"/>
  <c r="K31" i="1"/>
  <c r="L31" i="1"/>
  <c r="P31" i="1" s="1"/>
  <c r="K30" i="1"/>
  <c r="L30" i="1"/>
  <c r="P30" i="1" s="1"/>
  <c r="K29" i="1"/>
  <c r="L29" i="1"/>
  <c r="P29" i="1" s="1"/>
  <c r="K28" i="1"/>
  <c r="L28" i="1"/>
  <c r="P28" i="1" s="1"/>
  <c r="K27" i="1"/>
  <c r="L27" i="1"/>
  <c r="P27" i="1" s="1"/>
  <c r="K26" i="1"/>
  <c r="L26" i="1"/>
  <c r="P26" i="1" s="1"/>
  <c r="K25" i="1"/>
  <c r="L25" i="1"/>
  <c r="P25" i="1" s="1"/>
  <c r="K24" i="1"/>
  <c r="L24" i="1"/>
  <c r="P24" i="1" s="1"/>
  <c r="K23" i="1"/>
  <c r="L23" i="1"/>
  <c r="P23" i="1" s="1"/>
  <c r="K22" i="1"/>
  <c r="L22" i="1"/>
  <c r="P22" i="1" s="1"/>
  <c r="K21" i="1"/>
  <c r="L21" i="1"/>
  <c r="P21" i="1" s="1"/>
  <c r="K20" i="1"/>
  <c r="L20" i="1"/>
  <c r="P20" i="1" s="1"/>
  <c r="K19" i="1"/>
  <c r="L19" i="1"/>
  <c r="P19" i="1" s="1"/>
  <c r="K18" i="1"/>
  <c r="L18" i="1"/>
  <c r="P18" i="1" s="1"/>
  <c r="K17" i="1"/>
  <c r="L17" i="1"/>
  <c r="P17" i="1" s="1"/>
  <c r="K16" i="1"/>
  <c r="L16" i="1"/>
  <c r="P16" i="1" s="1"/>
  <c r="K15" i="1"/>
  <c r="L15" i="1"/>
  <c r="P15" i="1" s="1"/>
  <c r="K14" i="1"/>
  <c r="L14" i="1"/>
  <c r="P14" i="1" s="1"/>
  <c r="K13" i="1"/>
  <c r="L13" i="1"/>
  <c r="P13" i="1" s="1"/>
  <c r="L12" i="1"/>
  <c r="K12" i="1"/>
  <c r="K11" i="1"/>
  <c r="L11" i="1"/>
  <c r="P11" i="1" s="1"/>
  <c r="K10" i="1"/>
  <c r="L10" i="1"/>
  <c r="P10" i="1" s="1"/>
  <c r="K8" i="1"/>
  <c r="L8" i="1"/>
  <c r="P8" i="1" s="1"/>
  <c r="K5" i="1"/>
  <c r="L5" i="1"/>
  <c r="P5" i="1" s="1"/>
  <c r="K602" i="1"/>
  <c r="L602" i="1"/>
  <c r="P602" i="1" s="1"/>
  <c r="K601" i="1"/>
  <c r="L601" i="1"/>
  <c r="P601" i="1" s="1"/>
  <c r="K600" i="1"/>
  <c r="L600" i="1"/>
  <c r="P600" i="1" s="1"/>
  <c r="K597" i="1"/>
  <c r="L597" i="1"/>
  <c r="P597" i="1" s="1"/>
  <c r="K559" i="1"/>
  <c r="L559" i="1"/>
  <c r="P559" i="1" s="1"/>
  <c r="L558" i="1"/>
  <c r="P558" i="1" s="1"/>
  <c r="K558" i="1"/>
  <c r="L553" i="1"/>
  <c r="P553" i="1" s="1"/>
  <c r="K553" i="1"/>
  <c r="L537" i="1"/>
  <c r="P537" i="1" s="1"/>
  <c r="K537" i="1"/>
  <c r="L380" i="1"/>
  <c r="P380" i="1" s="1"/>
  <c r="K380" i="1"/>
  <c r="L371" i="1"/>
  <c r="P371" i="1" s="1"/>
  <c r="K371" i="1"/>
  <c r="O595" i="1"/>
  <c r="O526" i="1"/>
  <c r="O525" i="1"/>
  <c r="O524" i="1"/>
  <c r="O523" i="1"/>
  <c r="O522" i="1"/>
  <c r="O521" i="1"/>
  <c r="O520" i="1"/>
  <c r="O519" i="1"/>
  <c r="O593" i="1"/>
  <c r="O592" i="1"/>
  <c r="O589" i="1"/>
  <c r="O586" i="1"/>
  <c r="O578" i="1"/>
  <c r="O565" i="1"/>
  <c r="O536" i="1"/>
  <c r="O535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391" i="1"/>
  <c r="O388" i="1"/>
  <c r="O383" i="1"/>
  <c r="O474" i="1"/>
  <c r="O471" i="1"/>
  <c r="O469" i="1"/>
  <c r="O466" i="1"/>
  <c r="O463" i="1"/>
  <c r="O460" i="1"/>
  <c r="O457" i="1"/>
  <c r="O454" i="1"/>
  <c r="O450" i="1"/>
  <c r="O445" i="1"/>
  <c r="O440" i="1"/>
  <c r="O436" i="1"/>
  <c r="O29" i="1"/>
  <c r="O22" i="1"/>
  <c r="O14" i="1"/>
  <c r="O549" i="1"/>
  <c r="O533" i="1"/>
  <c r="O532" i="1"/>
  <c r="O531" i="1"/>
  <c r="O530" i="1"/>
  <c r="O529" i="1"/>
  <c r="O528" i="1"/>
  <c r="O527" i="1"/>
  <c r="O590" i="1"/>
  <c r="O587" i="1"/>
  <c r="O584" i="1"/>
  <c r="O571" i="1"/>
  <c r="O541" i="1"/>
  <c r="O367" i="1"/>
  <c r="O534" i="1"/>
  <c r="O594" i="1"/>
  <c r="O591" i="1"/>
  <c r="O588" i="1"/>
  <c r="O585" i="1"/>
  <c r="O570" i="1"/>
  <c r="O547" i="1"/>
  <c r="O543" i="1"/>
  <c r="O476" i="1"/>
  <c r="O475" i="1"/>
  <c r="O473" i="1"/>
  <c r="O472" i="1"/>
  <c r="O470" i="1"/>
  <c r="O468" i="1"/>
  <c r="O467" i="1"/>
  <c r="O465" i="1"/>
  <c r="O464" i="1"/>
  <c r="O462" i="1"/>
  <c r="O461" i="1"/>
  <c r="O459" i="1"/>
  <c r="O458" i="1"/>
  <c r="O456" i="1"/>
  <c r="O455" i="1"/>
  <c r="O453" i="1"/>
  <c r="O452" i="1"/>
  <c r="O451" i="1"/>
  <c r="O449" i="1"/>
  <c r="O448" i="1"/>
  <c r="O447" i="1"/>
  <c r="O446" i="1"/>
  <c r="O444" i="1"/>
  <c r="O443" i="1"/>
  <c r="O442" i="1"/>
  <c r="O441" i="1"/>
  <c r="O439" i="1"/>
  <c r="O438" i="1"/>
  <c r="O437" i="1"/>
  <c r="O435" i="1"/>
  <c r="O434" i="1"/>
  <c r="O433" i="1"/>
  <c r="O39" i="1"/>
  <c r="O38" i="1"/>
  <c r="O32" i="1"/>
  <c r="O31" i="1"/>
  <c r="O30" i="1"/>
  <c r="O24" i="1"/>
  <c r="O23" i="1"/>
  <c r="O20" i="1"/>
  <c r="O11" i="1"/>
  <c r="O601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396" i="1"/>
  <c r="O394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395" i="1"/>
  <c r="O393" i="1"/>
  <c r="O384" i="1"/>
  <c r="O36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89" i="1"/>
  <c r="O387" i="1"/>
  <c r="O386" i="1"/>
  <c r="O385" i="1"/>
  <c r="O374" i="1"/>
  <c r="O371" i="1"/>
  <c r="O359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210" i="1"/>
  <c r="O208" i="1"/>
  <c r="O205" i="1"/>
  <c r="O202" i="1"/>
  <c r="O199" i="1"/>
  <c r="O154" i="1"/>
  <c r="O147" i="1"/>
  <c r="O143" i="1"/>
  <c r="O139" i="1"/>
  <c r="O46" i="1"/>
  <c r="O43" i="1"/>
  <c r="O42" i="1"/>
  <c r="O35" i="1"/>
  <c r="O26" i="1"/>
  <c r="O21" i="1"/>
  <c r="O17" i="1"/>
  <c r="O16" i="1"/>
  <c r="O7" i="1"/>
  <c r="O5" i="1"/>
  <c r="O60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49" i="1"/>
  <c r="O247" i="1"/>
  <c r="O245" i="1"/>
  <c r="O243" i="1"/>
  <c r="O181" i="1"/>
  <c r="O121" i="1"/>
  <c r="O567" i="1"/>
  <c r="O545" i="1"/>
  <c r="O542" i="1"/>
  <c r="O538" i="1"/>
  <c r="O376" i="1"/>
  <c r="O363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58" i="1"/>
  <c r="O257" i="1"/>
  <c r="O256" i="1"/>
  <c r="O255" i="1"/>
  <c r="O254" i="1"/>
  <c r="O253" i="1"/>
  <c r="O252" i="1"/>
  <c r="O251" i="1"/>
  <c r="O250" i="1"/>
  <c r="O248" i="1"/>
  <c r="O246" i="1"/>
  <c r="O244" i="1"/>
  <c r="O242" i="1"/>
  <c r="O241" i="1"/>
  <c r="O240" i="1"/>
  <c r="O599" i="1"/>
  <c r="O580" i="1"/>
  <c r="O577" i="1"/>
  <c r="O575" i="1"/>
  <c r="O568" i="1"/>
  <c r="O561" i="1"/>
  <c r="O554" i="1"/>
  <c r="O548" i="1"/>
  <c r="O361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06" i="1"/>
  <c r="O203" i="1"/>
  <c r="O200" i="1"/>
  <c r="O160" i="1"/>
  <c r="O158" i="1"/>
  <c r="O156" i="1"/>
  <c r="O155" i="1"/>
  <c r="O153" i="1"/>
  <c r="O151" i="1"/>
  <c r="O149" i="1"/>
  <c r="O145" i="1"/>
  <c r="O142" i="1"/>
  <c r="O141" i="1"/>
  <c r="O137" i="1"/>
  <c r="O44" i="1"/>
  <c r="O40" i="1"/>
  <c r="O28" i="1"/>
  <c r="O27" i="1"/>
  <c r="O15" i="1"/>
  <c r="O265" i="1"/>
  <c r="O264" i="1"/>
  <c r="O263" i="1"/>
  <c r="O262" i="1"/>
  <c r="O261" i="1"/>
  <c r="O260" i="1"/>
  <c r="O259" i="1"/>
  <c r="O209" i="1"/>
  <c r="O207" i="1"/>
  <c r="O204" i="1"/>
  <c r="O201" i="1"/>
  <c r="O198" i="1"/>
  <c r="O157" i="1"/>
  <c r="O148" i="1"/>
  <c r="O138" i="1"/>
  <c r="O45" i="1"/>
  <c r="O41" i="1"/>
  <c r="O37" i="1"/>
  <c r="O36" i="1"/>
  <c r="O19" i="1"/>
  <c r="O2" i="1"/>
  <c r="O602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30" i="1"/>
  <c r="O128" i="1"/>
  <c r="O126" i="1"/>
  <c r="O579" i="1"/>
  <c r="O560" i="1"/>
  <c r="O557" i="1"/>
  <c r="O382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59" i="1"/>
  <c r="O152" i="1"/>
  <c r="O150" i="1"/>
  <c r="O146" i="1"/>
  <c r="O144" i="1"/>
  <c r="O140" i="1"/>
  <c r="O48" i="1"/>
  <c r="O47" i="1"/>
  <c r="O34" i="1"/>
  <c r="O33" i="1"/>
  <c r="O6" i="1"/>
  <c r="O136" i="1"/>
  <c r="O135" i="1"/>
  <c r="O134" i="1"/>
  <c r="O133" i="1"/>
  <c r="O132" i="1"/>
  <c r="O131" i="1"/>
  <c r="O129" i="1"/>
  <c r="O127" i="1"/>
  <c r="O124" i="1"/>
  <c r="O597" i="1"/>
  <c r="O573" i="1"/>
  <c r="O563" i="1"/>
  <c r="O558" i="1"/>
  <c r="O555" i="1"/>
  <c r="O552" i="1"/>
  <c r="O544" i="1"/>
  <c r="O540" i="1"/>
  <c r="O375" i="1"/>
  <c r="O360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57" i="1"/>
  <c r="O56" i="1"/>
  <c r="O55" i="1"/>
  <c r="O54" i="1"/>
  <c r="O53" i="1"/>
  <c r="O52" i="1"/>
  <c r="O51" i="1"/>
  <c r="O50" i="1"/>
  <c r="O49" i="1"/>
  <c r="O25" i="1"/>
  <c r="O18" i="1"/>
  <c r="O13" i="1"/>
  <c r="O8" i="1"/>
  <c r="O63" i="1"/>
  <c r="O62" i="1"/>
  <c r="O12" i="1"/>
  <c r="O10" i="1"/>
  <c r="O9" i="1"/>
  <c r="O4" i="1"/>
  <c r="O3" i="1"/>
  <c r="O550" i="1"/>
  <c r="O546" i="1"/>
  <c r="O60" i="1"/>
  <c r="O59" i="1"/>
  <c r="O58" i="1"/>
  <c r="P12" i="1" l="1"/>
  <c r="J3" i="4"/>
  <c r="N3" i="4"/>
  <c r="F3" i="4"/>
  <c r="P2" i="1"/>
  <c r="H3" i="3"/>
  <c r="H2" i="3"/>
</calcChain>
</file>

<file path=xl/sharedStrings.xml><?xml version="1.0" encoding="utf-8"?>
<sst xmlns="http://schemas.openxmlformats.org/spreadsheetml/2006/main" count="3380" uniqueCount="1526">
  <si>
    <t>Cliente</t>
  </si>
  <si>
    <t>Vendedor</t>
  </si>
  <si>
    <t>Time de Vendedores</t>
  </si>
  <si>
    <t>Categoria</t>
  </si>
  <si>
    <t>Detalhe</t>
  </si>
  <si>
    <t>Número de série da venda</t>
  </si>
  <si>
    <t>Número de série da venda (Limpo)</t>
  </si>
  <si>
    <t>Valor de venda</t>
  </si>
  <si>
    <t>Valor anterior</t>
  </si>
  <si>
    <t>Valor Comição Base</t>
  </si>
  <si>
    <t>Valor Comissão Real</t>
  </si>
  <si>
    <t xml:space="preserve">Valor Comissão Backoffice </t>
  </si>
  <si>
    <t>Valor Faturamento</t>
  </si>
  <si>
    <t>Data Faturamento</t>
  </si>
  <si>
    <t>Data Pagamento Vendedores</t>
  </si>
  <si>
    <t xml:space="preserve">Data Pagamento Backoffice </t>
  </si>
  <si>
    <t>Cliente 480</t>
  </si>
  <si>
    <t>Vendedor 7</t>
  </si>
  <si>
    <t>Fixa</t>
  </si>
  <si>
    <t>Novo</t>
  </si>
  <si>
    <t>Cliente 293</t>
  </si>
  <si>
    <t>Vendedor 1</t>
  </si>
  <si>
    <t>Móvel</t>
  </si>
  <si>
    <t>Cliente 60</t>
  </si>
  <si>
    <t>Vendedor 6</t>
  </si>
  <si>
    <t>Renovação</t>
  </si>
  <si>
    <t>Cliente 235</t>
  </si>
  <si>
    <t>Vendedor 5</t>
  </si>
  <si>
    <t>Cliente 39</t>
  </si>
  <si>
    <t>Vendedor 4</t>
  </si>
  <si>
    <t>Cliente 459</t>
  </si>
  <si>
    <t>Vendedor 8</t>
  </si>
  <si>
    <t>Cliente 185</t>
  </si>
  <si>
    <t>Vendedor 2</t>
  </si>
  <si>
    <t>Cliente 350</t>
  </si>
  <si>
    <t>Cliente 402</t>
  </si>
  <si>
    <t>Vendedor 3</t>
  </si>
  <si>
    <t>Cliente 324</t>
  </si>
  <si>
    <t>Cliente 24</t>
  </si>
  <si>
    <t>Cliente 48</t>
  </si>
  <si>
    <t>Cliente 452</t>
  </si>
  <si>
    <t>Cliente 211</t>
  </si>
  <si>
    <t>Cliente 308</t>
  </si>
  <si>
    <t>Cliente 516</t>
  </si>
  <si>
    <t>Cliente 521</t>
  </si>
  <si>
    <t>Cliente 499</t>
  </si>
  <si>
    <t>Cliente 208</t>
  </si>
  <si>
    <t>Cliente 495</t>
  </si>
  <si>
    <t>Cliente 13</t>
  </si>
  <si>
    <t>Cliente 243</t>
  </si>
  <si>
    <t>Cliente 163</t>
  </si>
  <si>
    <t>Cliente 264</t>
  </si>
  <si>
    <t>Cliente 546</t>
  </si>
  <si>
    <t>Cliente 92</t>
  </si>
  <si>
    <t>Cliente 14</t>
  </si>
  <si>
    <t>Cliente 141</t>
  </si>
  <si>
    <t>Cliente 1</t>
  </si>
  <si>
    <t>Cliente 126</t>
  </si>
  <si>
    <t>Cliente 135</t>
  </si>
  <si>
    <t>Cliente 83</t>
  </si>
  <si>
    <t>Cliente 280</t>
  </si>
  <si>
    <t>Cliente 173</t>
  </si>
  <si>
    <t>Cliente 73</t>
  </si>
  <si>
    <t>Cliente 63</t>
  </si>
  <si>
    <t>Cliente 140</t>
  </si>
  <si>
    <t>Cliente 220</t>
  </si>
  <si>
    <t>Cliente 511</t>
  </si>
  <si>
    <t>Cliente 435</t>
  </si>
  <si>
    <t>Cliente 184</t>
  </si>
  <si>
    <t>Cliente 253</t>
  </si>
  <si>
    <t>Cliente 300</t>
  </si>
  <si>
    <t>Cliente 89</t>
  </si>
  <si>
    <t>Cliente 467</t>
  </si>
  <si>
    <t>Cliente 556</t>
  </si>
  <si>
    <t>Cliente 244</t>
  </si>
  <si>
    <t>Cliente 245</t>
  </si>
  <si>
    <t>Cliente 583</t>
  </si>
  <si>
    <t>Cliente 2</t>
  </si>
  <si>
    <t>Cliente 271</t>
  </si>
  <si>
    <t>Cliente 152</t>
  </si>
  <si>
    <t>Cliente 401</t>
  </si>
  <si>
    <t>Cliente 385</t>
  </si>
  <si>
    <t>Cliente 51</t>
  </si>
  <si>
    <t>Cliente 219</t>
  </si>
  <si>
    <t>Cliente 67</t>
  </si>
  <si>
    <t>Cliente 263</t>
  </si>
  <si>
    <t>Cliente 187</t>
  </si>
  <si>
    <t>Cliente 448</t>
  </si>
  <si>
    <t>Cliente 454</t>
  </si>
  <si>
    <t>Cliente 255</t>
  </si>
  <si>
    <t>Cliente 537</t>
  </si>
  <si>
    <t>Cliente 446</t>
  </si>
  <si>
    <t>Cliente 91</t>
  </si>
  <si>
    <t>Cliente 379</t>
  </si>
  <si>
    <t>Cliente 577</t>
  </si>
  <si>
    <t>Cliente 144</t>
  </si>
  <si>
    <t>Cliente 548</t>
  </si>
  <si>
    <t>Cliente 233</t>
  </si>
  <si>
    <t>Cliente 360</t>
  </si>
  <si>
    <t>Cliente 5</t>
  </si>
  <si>
    <t>Cliente 268</t>
  </si>
  <si>
    <t>Cliente 132</t>
  </si>
  <si>
    <t>Cliente 563</t>
  </si>
  <si>
    <t>Cliente 234</t>
  </si>
  <si>
    <t>Cliente 428</t>
  </si>
  <si>
    <t>Cliente 192</t>
  </si>
  <si>
    <t>Cliente 297</t>
  </si>
  <si>
    <t>Cliente 259</t>
  </si>
  <si>
    <t>Cliente 502</t>
  </si>
  <si>
    <t>Cliente 382</t>
  </si>
  <si>
    <t>Cliente 431</t>
  </si>
  <si>
    <t>Cliente 307</t>
  </si>
  <si>
    <t>Cliente 504</t>
  </si>
  <si>
    <t>Cliente 230</t>
  </si>
  <si>
    <t>Cliente 27</t>
  </si>
  <si>
    <t>Cliente 104</t>
  </si>
  <si>
    <t>Cliente 340</t>
  </si>
  <si>
    <t>Cliente 576</t>
  </si>
  <si>
    <t>Cliente 510</t>
  </si>
  <si>
    <t>Cliente 76</t>
  </si>
  <si>
    <t>Cliente 391</t>
  </si>
  <si>
    <t>Cliente 128</t>
  </si>
  <si>
    <t>Cliente 133</t>
  </si>
  <si>
    <t>Cliente 366</t>
  </si>
  <si>
    <t>Cliente 282</t>
  </si>
  <si>
    <t>Cliente 209</t>
  </si>
  <si>
    <t>Cliente 370</t>
  </si>
  <si>
    <t>Cliente 203</t>
  </si>
  <si>
    <t>Cliente 439</t>
  </si>
  <si>
    <t>Cliente 543</t>
  </si>
  <si>
    <t>Cliente 581</t>
  </si>
  <si>
    <t>Cliente 194</t>
  </si>
  <si>
    <t>Cliente 352</t>
  </si>
  <si>
    <t>Cliente 87</t>
  </si>
  <si>
    <t>Cliente 427</t>
  </si>
  <si>
    <t>Cliente 368</t>
  </si>
  <si>
    <t>Cliente 149</t>
  </si>
  <si>
    <t>Cliente 447</t>
  </si>
  <si>
    <t>Cliente 65</t>
  </si>
  <si>
    <t>Cliente 22</t>
  </si>
  <si>
    <t>Cliente 386</t>
  </si>
  <si>
    <t>Cliente 477</t>
  </si>
  <si>
    <t>Cliente 524</t>
  </si>
  <si>
    <t>Cliente 202</t>
  </si>
  <si>
    <t>Cliente 136</t>
  </si>
  <si>
    <t>Cliente 124</t>
  </si>
  <si>
    <t>Cliente 376</t>
  </si>
  <si>
    <t>Cliente 555</t>
  </si>
  <si>
    <t>Cliente 445</t>
  </si>
  <si>
    <t>Cliente 139</t>
  </si>
  <si>
    <t>Cliente 493</t>
  </si>
  <si>
    <t>Cliente 109</t>
  </si>
  <si>
    <t>Cliente 290</t>
  </si>
  <si>
    <t>Cliente 415</t>
  </si>
  <si>
    <t>Cliente 544</t>
  </si>
  <si>
    <t>Cliente 334</t>
  </si>
  <si>
    <t>Cliente 231</t>
  </si>
  <si>
    <t>Cliente 36</t>
  </si>
  <si>
    <t>Cliente 413</t>
  </si>
  <si>
    <t>Cliente 582</t>
  </si>
  <si>
    <t>Cliente 56</t>
  </si>
  <si>
    <t>Cliente 570</t>
  </si>
  <si>
    <t>Cliente 432</t>
  </si>
  <si>
    <t>Cliente 97</t>
  </si>
  <si>
    <t>Cliente 420</t>
  </si>
  <si>
    <t>Cliente 325</t>
  </si>
  <si>
    <t>Cliente 429</t>
  </si>
  <si>
    <t>Cliente 115</t>
  </si>
  <si>
    <t>Cliente 295</t>
  </si>
  <si>
    <t>Cliente 199</t>
  </si>
  <si>
    <t>Cliente 407</t>
  </si>
  <si>
    <t>Cliente 469</t>
  </si>
  <si>
    <t>Cliente 591</t>
  </si>
  <si>
    <t>Cliente 17</t>
  </si>
  <si>
    <t>Cliente 15</t>
  </si>
  <si>
    <t>Cliente 252</t>
  </si>
  <si>
    <t>Cliente 364</t>
  </si>
  <si>
    <t>Cliente 418</t>
  </si>
  <si>
    <t>Cliente 54</t>
  </si>
  <si>
    <t>Cliente 224</t>
  </si>
  <si>
    <t>Cliente 229</t>
  </si>
  <si>
    <t>Cliente 351</t>
  </si>
  <si>
    <t>Cliente 306</t>
  </si>
  <si>
    <t>Cliente 197</t>
  </si>
  <si>
    <t>Cliente 580</t>
  </si>
  <si>
    <t>Cliente 206</t>
  </si>
  <si>
    <t>Cliente 347</t>
  </si>
  <si>
    <t>Cliente 403</t>
  </si>
  <si>
    <t>Cliente 430</t>
  </si>
  <si>
    <t>Cliente 212</t>
  </si>
  <si>
    <t>Cliente 191</t>
  </si>
  <si>
    <t>Cliente 157</t>
  </si>
  <si>
    <t>Cliente 260</t>
  </si>
  <si>
    <t>Cliente 214</t>
  </si>
  <si>
    <t>Cliente 258</t>
  </si>
  <si>
    <t>Cliente 46</t>
  </si>
  <si>
    <t>Cliente 79</t>
  </si>
  <si>
    <t>Cliente 457</t>
  </si>
  <si>
    <t>Cliente 256</t>
  </si>
  <si>
    <t>Cliente 455</t>
  </si>
  <si>
    <t>Cliente 331</t>
  </si>
  <si>
    <t>Cliente 475</t>
  </si>
  <si>
    <t>Cliente 594</t>
  </si>
  <si>
    <t>Cliente 279</t>
  </si>
  <si>
    <t>Cliente 90</t>
  </si>
  <si>
    <t>Cliente 535</t>
  </si>
  <si>
    <t>Cliente 337</t>
  </si>
  <si>
    <t>Cliente 113</t>
  </si>
  <si>
    <t>Cliente 72</t>
  </si>
  <si>
    <t>Cliente 262</t>
  </si>
  <si>
    <t>Cliente 330</t>
  </si>
  <si>
    <t>Cliente 12</t>
  </si>
  <si>
    <t>Cliente 494</t>
  </si>
  <si>
    <t>Cliente 519</t>
  </si>
  <si>
    <t>Cliente 296</t>
  </si>
  <si>
    <t>Cliente 405</t>
  </si>
  <si>
    <t>Cliente 216</t>
  </si>
  <si>
    <t>Cliente 595</t>
  </si>
  <si>
    <t>Cliente 323</t>
  </si>
  <si>
    <t>Cliente 285</t>
  </si>
  <si>
    <t>Cliente 82</t>
  </si>
  <si>
    <t>Cliente 373</t>
  </si>
  <si>
    <t>Cliente 464</t>
  </si>
  <si>
    <t>Cliente 125</t>
  </si>
  <si>
    <t>Cliente 298</t>
  </si>
  <si>
    <t>Cliente 572</t>
  </si>
  <si>
    <t>Cliente 601</t>
  </si>
  <si>
    <t>Cliente 592</t>
  </si>
  <si>
    <t>Cliente 565</t>
  </si>
  <si>
    <t>Cliente 64</t>
  </si>
  <si>
    <t>Cliente 247</t>
  </si>
  <si>
    <t>Cliente 151</t>
  </si>
  <si>
    <t>Cliente 11</t>
  </si>
  <si>
    <t>Cliente 168</t>
  </si>
  <si>
    <t>Cliente 532</t>
  </si>
  <si>
    <t>Cliente 164</t>
  </si>
  <si>
    <t>Cliente 365</t>
  </si>
  <si>
    <t>Cliente 443</t>
  </si>
  <si>
    <t>Cliente 43</t>
  </si>
  <si>
    <t>Cliente 332</t>
  </si>
  <si>
    <t>Cliente 70</t>
  </si>
  <si>
    <t>Cliente 530</t>
  </si>
  <si>
    <t>Cliente 223</t>
  </si>
  <si>
    <t>Cliente 38</t>
  </si>
  <si>
    <t>Cliente 183</t>
  </si>
  <si>
    <t>Cliente 238</t>
  </si>
  <si>
    <t>Cliente 458</t>
  </si>
  <si>
    <t>Cliente 552</t>
  </si>
  <si>
    <t>Cliente 354</t>
  </si>
  <si>
    <t>Cliente 257</t>
  </si>
  <si>
    <t>Cliente 69</t>
  </si>
  <si>
    <t>Cliente 541</t>
  </si>
  <si>
    <t>Cliente 134</t>
  </si>
  <si>
    <t>Cliente 101</t>
  </si>
  <si>
    <t>Cliente 241</t>
  </si>
  <si>
    <t>Cliente 441</t>
  </si>
  <si>
    <t>Cliente 539</t>
  </si>
  <si>
    <t>Cliente 159</t>
  </si>
  <si>
    <t>Cliente 270</t>
  </si>
  <si>
    <t>Cliente 111</t>
  </si>
  <si>
    <t>Cliente 568</t>
  </si>
  <si>
    <t>Cliente 86</t>
  </si>
  <si>
    <t>Cliente 77</t>
  </si>
  <si>
    <t>Cliente 527</t>
  </si>
  <si>
    <t>Cliente 346</t>
  </si>
  <si>
    <t>Cliente 589</t>
  </si>
  <si>
    <t>Cliente 561</t>
  </si>
  <si>
    <t>Cliente 266</t>
  </si>
  <si>
    <t>Cliente 153</t>
  </si>
  <si>
    <t>Cliente 114</t>
  </si>
  <si>
    <t>Cliente 358</t>
  </si>
  <si>
    <t>Cliente 246</t>
  </si>
  <si>
    <t>Cliente 506</t>
  </si>
  <si>
    <t>Cliente 222</t>
  </si>
  <si>
    <t>Cliente 284</t>
  </si>
  <si>
    <t>Cliente 249</t>
  </si>
  <si>
    <t>Cliente 383</t>
  </si>
  <si>
    <t>Cliente 314</t>
  </si>
  <si>
    <t>Cliente 378</t>
  </si>
  <si>
    <t>Cliente 292</t>
  </si>
  <si>
    <t>Cliente 566</t>
  </si>
  <si>
    <t>Cliente 172</t>
  </si>
  <si>
    <t>Cliente 317</t>
  </si>
  <si>
    <t>Cliente 34</t>
  </si>
  <si>
    <t>Cliente 353</t>
  </si>
  <si>
    <t>Cliente 98</t>
  </si>
  <si>
    <t>Cliente 484</t>
  </si>
  <si>
    <t>Cliente 515</t>
  </si>
  <si>
    <t>Cliente 123</t>
  </si>
  <si>
    <t>Cliente 193</t>
  </si>
  <si>
    <t>Cliente 486</t>
  </si>
  <si>
    <t>Cliente 181</t>
  </si>
  <si>
    <t>Cliente 196</t>
  </si>
  <si>
    <t>Cliente 117</t>
  </si>
  <si>
    <t>Cliente 500</t>
  </si>
  <si>
    <t>Cliente 23</t>
  </si>
  <si>
    <t>Cliente 227</t>
  </si>
  <si>
    <t>Cliente 588</t>
  </si>
  <si>
    <t>Cliente 416</t>
  </si>
  <si>
    <t>Cliente 119</t>
  </si>
  <si>
    <t>Cliente 58</t>
  </si>
  <si>
    <t>Cliente 108</t>
  </si>
  <si>
    <t>Cliente 363</t>
  </si>
  <si>
    <t>Cliente 103</t>
  </si>
  <si>
    <t>Cliente 558</t>
  </si>
  <si>
    <t>Cliente 158</t>
  </si>
  <si>
    <t>Cliente 497</t>
  </si>
  <si>
    <t>Cliente 62</t>
  </si>
  <si>
    <t>Cliente 551</t>
  </si>
  <si>
    <t>Cliente 451</t>
  </si>
  <si>
    <t>Cliente 207</t>
  </si>
  <si>
    <t>Cliente 547</t>
  </si>
  <si>
    <t>Cliente 174</t>
  </si>
  <si>
    <t>Cliente 474</t>
  </si>
  <si>
    <t>Cliente 180</t>
  </si>
  <si>
    <t>Cliente 468</t>
  </si>
  <si>
    <t>Cliente 309</t>
  </si>
  <si>
    <t>Cliente 395</t>
  </si>
  <si>
    <t>Cliente 319</t>
  </si>
  <si>
    <t>Cliente 274</t>
  </si>
  <si>
    <t>Cliente 283</t>
  </si>
  <si>
    <t>Cliente 341</t>
  </si>
  <si>
    <t>100.351.784-80</t>
  </si>
  <si>
    <t>Cliente 342</t>
  </si>
  <si>
    <t>100.680.991-27</t>
  </si>
  <si>
    <t>Cliente 372</t>
  </si>
  <si>
    <t>103.470.935-28</t>
  </si>
  <si>
    <t>Cliente 237</t>
  </si>
  <si>
    <t>109.097.709-65</t>
  </si>
  <si>
    <t>Cliente 236</t>
  </si>
  <si>
    <t>116.063.745-42</t>
  </si>
  <si>
    <t>Cliente 242</t>
  </si>
  <si>
    <t>119.201.632-99</t>
  </si>
  <si>
    <t>Cliente 564</t>
  </si>
  <si>
    <t>119.940.662-71</t>
  </si>
  <si>
    <t>Cliente 105</t>
  </si>
  <si>
    <t>121.132.197-96</t>
  </si>
  <si>
    <t>Cliente 336</t>
  </si>
  <si>
    <t>121.231.494-85</t>
  </si>
  <si>
    <t>Cliente 361</t>
  </si>
  <si>
    <t>127.062.115-88</t>
  </si>
  <si>
    <t>Cliente 470</t>
  </si>
  <si>
    <t>129.214.114-92</t>
  </si>
  <si>
    <t>Cliente 489</t>
  </si>
  <si>
    <t>131.815.299-06</t>
  </si>
  <si>
    <t>Cliente 329</t>
  </si>
  <si>
    <t>133.684.992-79</t>
  </si>
  <si>
    <t>Cliente 250</t>
  </si>
  <si>
    <t>133.814.317-87</t>
  </si>
  <si>
    <t>Cliente 460</t>
  </si>
  <si>
    <t>136.975.029-21</t>
  </si>
  <si>
    <t>Cliente 473</t>
  </si>
  <si>
    <t>143.725.967-72</t>
  </si>
  <si>
    <t>Cliente 523</t>
  </si>
  <si>
    <t>144.144.558-67</t>
  </si>
  <si>
    <t>Cliente 533</t>
  </si>
  <si>
    <t>145.551.576-63</t>
  </si>
  <si>
    <t>Cliente 186</t>
  </si>
  <si>
    <t>145.763.136-78</t>
  </si>
  <si>
    <t>Cliente 461</t>
  </si>
  <si>
    <t>146.393.929-52</t>
  </si>
  <si>
    <t>Cliente 514</t>
  </si>
  <si>
    <t>155.079.687-62</t>
  </si>
  <si>
    <t>Cliente 4</t>
  </si>
  <si>
    <t>157.209.027-07</t>
  </si>
  <si>
    <t>Cliente 248</t>
  </si>
  <si>
    <t>157.797.362-58</t>
  </si>
  <si>
    <t>Cliente 145</t>
  </si>
  <si>
    <t>164.272.467-60</t>
  </si>
  <si>
    <t>Cliente 549</t>
  </si>
  <si>
    <t>167.930.896-38</t>
  </si>
  <si>
    <t>Cliente 440</t>
  </si>
  <si>
    <t>169.782.307-53</t>
  </si>
  <si>
    <t>Cliente 195</t>
  </si>
  <si>
    <t>171.253.192-87</t>
  </si>
  <si>
    <t>Cliente 404</t>
  </si>
  <si>
    <t>171.654.616-49</t>
  </si>
  <si>
    <t>Cliente 165</t>
  </si>
  <si>
    <t>173.762.036-96</t>
  </si>
  <si>
    <t>Cliente 326</t>
  </si>
  <si>
    <t>176.186.657-39</t>
  </si>
  <si>
    <t>Cliente 251</t>
  </si>
  <si>
    <t>180.055.490-41</t>
  </si>
  <si>
    <t>Cliente 503</t>
  </si>
  <si>
    <t>184.497.639-81</t>
  </si>
  <si>
    <t>Cliente 422</t>
  </si>
  <si>
    <t>185.167.512-52</t>
  </si>
  <si>
    <t>Cliente 291</t>
  </si>
  <si>
    <t>186.463.046-56</t>
  </si>
  <si>
    <t>Cliente 320</t>
  </si>
  <si>
    <t>196.013.196-93</t>
  </si>
  <si>
    <t>Cliente 6</t>
  </si>
  <si>
    <t>196.180.028-10</t>
  </si>
  <si>
    <t>Cliente 371</t>
  </si>
  <si>
    <t>197.181.503-65</t>
  </si>
  <si>
    <t>Cliente 45</t>
  </si>
  <si>
    <t>197.254.039-33</t>
  </si>
  <si>
    <t>Cliente 410</t>
  </si>
  <si>
    <t>197.377.196-47</t>
  </si>
  <si>
    <t>Cliente 574</t>
  </si>
  <si>
    <t>202.112.558-41</t>
  </si>
  <si>
    <t>Cliente 557</t>
  </si>
  <si>
    <t>214.041.337-34</t>
  </si>
  <si>
    <t>Cliente 148</t>
  </si>
  <si>
    <t>215.938.134-26</t>
  </si>
  <si>
    <t>Cliente 146</t>
  </si>
  <si>
    <t>217.385.611-30</t>
  </si>
  <si>
    <t>Cliente 390</t>
  </si>
  <si>
    <t>223.300.242-75</t>
  </si>
  <si>
    <t>Cliente 438</t>
  </si>
  <si>
    <t>223.338.426-82</t>
  </si>
  <si>
    <t>Cliente 9</t>
  </si>
  <si>
    <t>225.448.521-10</t>
  </si>
  <si>
    <t>Cliente 130</t>
  </si>
  <si>
    <t>231.967.316-53</t>
  </si>
  <si>
    <t>Cliente 120</t>
  </si>
  <si>
    <t>232.681.938-85</t>
  </si>
  <si>
    <t>Cliente 294</t>
  </si>
  <si>
    <t>234.765.632-51</t>
  </si>
  <si>
    <t>Cliente 240</t>
  </si>
  <si>
    <t>236.296.054-05</t>
  </si>
  <si>
    <t>Cliente 121</t>
  </si>
  <si>
    <t>240.584.996-88</t>
  </si>
  <si>
    <t>Cliente 118</t>
  </si>
  <si>
    <t>242.186.949-68</t>
  </si>
  <si>
    <t>Cliente 462</t>
  </si>
  <si>
    <t>246.410.726-47</t>
  </si>
  <si>
    <t>Cliente 412</t>
  </si>
  <si>
    <t>252.478.198-97</t>
  </si>
  <si>
    <t>Cliente 586</t>
  </si>
  <si>
    <t>255.745.414-98</t>
  </si>
  <si>
    <t>Cliente 578</t>
  </si>
  <si>
    <t>261.214.385-52</t>
  </si>
  <si>
    <t>Cliente 273</t>
  </si>
  <si>
    <t>264.615.156-86</t>
  </si>
  <si>
    <t>Cliente 322</t>
  </si>
  <si>
    <t>273.129.416-37</t>
  </si>
  <si>
    <t>Cliente 520</t>
  </si>
  <si>
    <t>274.754.399-20</t>
  </si>
  <si>
    <t>Cliente 434</t>
  </si>
  <si>
    <t>275.077.600-81</t>
  </si>
  <si>
    <t>Cliente 177</t>
  </si>
  <si>
    <t>277.615.565-53</t>
  </si>
  <si>
    <t>Cliente 505</t>
  </si>
  <si>
    <t>278.970.683-40</t>
  </si>
  <si>
    <t>Cliente 343</t>
  </si>
  <si>
    <t>282.292.210-06</t>
  </si>
  <si>
    <t>Cliente 388</t>
  </si>
  <si>
    <t>284.016.660-26</t>
  </si>
  <si>
    <t>Cliente 465</t>
  </si>
  <si>
    <t>285.918.600-00</t>
  </si>
  <si>
    <t>Cliente 375</t>
  </si>
  <si>
    <t>287.346.456-45</t>
  </si>
  <si>
    <t>Cliente 384</t>
  </si>
  <si>
    <t>289.958.793-61</t>
  </si>
  <si>
    <t>Cliente 217</t>
  </si>
  <si>
    <t>292.914.135-28</t>
  </si>
  <si>
    <t>Cliente 25</t>
  </si>
  <si>
    <t>294.933.876-36</t>
  </si>
  <si>
    <t>Cliente 10</t>
  </si>
  <si>
    <t>296.469.719-76</t>
  </si>
  <si>
    <t>Cliente 393</t>
  </si>
  <si>
    <t>305.160.755-55</t>
  </si>
  <si>
    <t>Cliente 423</t>
  </si>
  <si>
    <t>306.232.841-41</t>
  </si>
  <si>
    <t>Cliente 397</t>
  </si>
  <si>
    <t>310.774.859-42</t>
  </si>
  <si>
    <t>Cliente 449</t>
  </si>
  <si>
    <t>315.453.416-03</t>
  </si>
  <si>
    <t>Cliente 479</t>
  </si>
  <si>
    <t>317.230.924-04</t>
  </si>
  <si>
    <t>Cliente 485</t>
  </si>
  <si>
    <t>318.445.198-89</t>
  </si>
  <si>
    <t>Cliente 80</t>
  </si>
  <si>
    <t>318.585.954-12</t>
  </si>
  <si>
    <t>Cliente 585</t>
  </si>
  <si>
    <t>319.391.752-64</t>
  </si>
  <si>
    <t>Cliente 40</t>
  </si>
  <si>
    <t>320.561.791-12</t>
  </si>
  <si>
    <t>Cliente 442</t>
  </si>
  <si>
    <t>324.428.748-50</t>
  </si>
  <si>
    <t>Cliente 313</t>
  </si>
  <si>
    <t>324.455.757-61</t>
  </si>
  <si>
    <t>Cliente 102</t>
  </si>
  <si>
    <t>326.036.189-03</t>
  </si>
  <si>
    <t>Cliente 598</t>
  </si>
  <si>
    <t>327.545.809-19</t>
  </si>
  <si>
    <t>Cliente 584</t>
  </si>
  <si>
    <t>333.302.440-30</t>
  </si>
  <si>
    <t>Cliente 88</t>
  </si>
  <si>
    <t>335.965.968-26</t>
  </si>
  <si>
    <t>Cliente 538</t>
  </si>
  <si>
    <t>336.982.817-03</t>
  </si>
  <si>
    <t>Cliente 596</t>
  </si>
  <si>
    <t>342.587.499-71</t>
  </si>
  <si>
    <t>Cliente 362</t>
  </si>
  <si>
    <t>347.696.999-02</t>
  </si>
  <si>
    <t>Cliente 31</t>
  </si>
  <si>
    <t>352.786.454-67</t>
  </si>
  <si>
    <t>Cliente 437</t>
  </si>
  <si>
    <t>357.226.254-46</t>
  </si>
  <si>
    <t>Cliente 311</t>
  </si>
  <si>
    <t>357.993.696-27</t>
  </si>
  <si>
    <t>Cliente 147</t>
  </si>
  <si>
    <t>359.861.910-33</t>
  </si>
  <si>
    <t>Cliente 281</t>
  </si>
  <si>
    <t>369.407.593-18</t>
  </si>
  <si>
    <t>Cliente 355</t>
  </si>
  <si>
    <t>370.093.084-94</t>
  </si>
  <si>
    <t>Cliente 335</t>
  </si>
  <si>
    <t>370.607.261-44</t>
  </si>
  <si>
    <t>Cliente 19</t>
  </si>
  <si>
    <t>373.517.410-26</t>
  </si>
  <si>
    <t>Cliente 143</t>
  </si>
  <si>
    <t>380.020.872-68</t>
  </si>
  <si>
    <t>Cliente 392</t>
  </si>
  <si>
    <t>384.793.565-83</t>
  </si>
  <si>
    <t>Cliente 318</t>
  </si>
  <si>
    <t>387.061.428-90</t>
  </si>
  <si>
    <t>Cliente 68</t>
  </si>
  <si>
    <t>391.653.021-11</t>
  </si>
  <si>
    <t>Cliente 74</t>
  </si>
  <si>
    <t>391.888.142-36</t>
  </si>
  <si>
    <t>Cliente 425</t>
  </si>
  <si>
    <t>393.854.597-05</t>
  </si>
  <si>
    <t>Cliente 545</t>
  </si>
  <si>
    <t>397.451.430-13</t>
  </si>
  <si>
    <t>Cliente 50</t>
  </si>
  <si>
    <t>400.225.725-12</t>
  </si>
  <si>
    <t>Cliente 53</t>
  </si>
  <si>
    <t>402.853.074-40</t>
  </si>
  <si>
    <t>Cliente 426</t>
  </si>
  <si>
    <t>405.124.715-66</t>
  </si>
  <si>
    <t>Cliente 96</t>
  </si>
  <si>
    <t>405.449.523-45</t>
  </si>
  <si>
    <t>Cliente 338</t>
  </si>
  <si>
    <t>406.975.556-04</t>
  </si>
  <si>
    <t>Cliente 380</t>
  </si>
  <si>
    <t>412.107.582-81</t>
  </si>
  <si>
    <t>Cliente 550</t>
  </si>
  <si>
    <t>415.014.117-78</t>
  </si>
  <si>
    <t>Cliente 389</t>
  </si>
  <si>
    <t>416.684.866-15</t>
  </si>
  <si>
    <t>Cliente 16</t>
  </si>
  <si>
    <t>426.085.686-18</t>
  </si>
  <si>
    <t>Cliente 349</t>
  </si>
  <si>
    <t>433.228.729-24</t>
  </si>
  <si>
    <t>Cliente 198</t>
  </si>
  <si>
    <t>433.798.249-55</t>
  </si>
  <si>
    <t>Cliente 265</t>
  </si>
  <si>
    <t>434.073.594-04</t>
  </si>
  <si>
    <t>Cliente 522</t>
  </si>
  <si>
    <t>435.079.397-92</t>
  </si>
  <si>
    <t>Cliente 356</t>
  </si>
  <si>
    <t>435.596.991-68</t>
  </si>
  <si>
    <t>Cliente 7</t>
  </si>
  <si>
    <t>436.087.234-05</t>
  </si>
  <si>
    <t>Cliente 32</t>
  </si>
  <si>
    <t>436.999.748-83</t>
  </si>
  <si>
    <t>Cliente 155</t>
  </si>
  <si>
    <t>438.672.270-88</t>
  </si>
  <si>
    <t>Cliente 315</t>
  </si>
  <si>
    <t>443.253.160-48</t>
  </si>
  <si>
    <t>Cliente 463</t>
  </si>
  <si>
    <t>444.153.705-72</t>
  </si>
  <si>
    <t>Cliente 286</t>
  </si>
  <si>
    <t>444.526.192-35</t>
  </si>
  <si>
    <t>Cliente 509</t>
  </si>
  <si>
    <t>446.708.769-76</t>
  </si>
  <si>
    <t>Cliente 200</t>
  </si>
  <si>
    <t>448.209.742-58</t>
  </si>
  <si>
    <t>Cliente 289</t>
  </si>
  <si>
    <t>448.373.295-94</t>
  </si>
  <si>
    <t>Cliente 175</t>
  </si>
  <si>
    <t>450.700.891-21</t>
  </si>
  <si>
    <t>Cliente 106</t>
  </si>
  <si>
    <t>455.752.068-43</t>
  </si>
  <si>
    <t>Cliente 488</t>
  </si>
  <si>
    <t>456.980.118-95</t>
  </si>
  <si>
    <t>Cliente 99</t>
  </si>
  <si>
    <t>457.659.402-89</t>
  </si>
  <si>
    <t>Cliente 167</t>
  </si>
  <si>
    <t>464.281.035-68</t>
  </si>
  <si>
    <t>Cliente 116</t>
  </si>
  <si>
    <t>475.554.223-49</t>
  </si>
  <si>
    <t>Cliente 411</t>
  </si>
  <si>
    <t>481.460.252-05</t>
  </si>
  <si>
    <t>Cliente 421</t>
  </si>
  <si>
    <t>487.138.526-38</t>
  </si>
  <si>
    <t>Cliente 269</t>
  </si>
  <si>
    <t>488.349.083-57</t>
  </si>
  <si>
    <t>Cliente 400</t>
  </si>
  <si>
    <t>488.916.612-42</t>
  </si>
  <si>
    <t>Cliente 232</t>
  </si>
  <si>
    <t>489.509.814-59</t>
  </si>
  <si>
    <t>Cliente 398</t>
  </si>
  <si>
    <t>494.367.951-26</t>
  </si>
  <si>
    <t>Cliente 78</t>
  </si>
  <si>
    <t>496.480.674-75</t>
  </si>
  <si>
    <t>Cliente 267</t>
  </si>
  <si>
    <t>496.482.277-52</t>
  </si>
  <si>
    <t>Cliente 345</t>
  </si>
  <si>
    <t>497.118.419-18</t>
  </si>
  <si>
    <t>Cliente 66</t>
  </si>
  <si>
    <t>501.017.473-76</t>
  </si>
  <si>
    <t>Cliente 182</t>
  </si>
  <si>
    <t>506.981.484-59</t>
  </si>
  <si>
    <t>Cliente 575</t>
  </si>
  <si>
    <t>514.156.547-10</t>
  </si>
  <si>
    <t>Cliente 122</t>
  </si>
  <si>
    <t>516.346.462-66</t>
  </si>
  <si>
    <t>Cliente 513</t>
  </si>
  <si>
    <t>518.636.819-67</t>
  </si>
  <si>
    <t>Cliente 52</t>
  </si>
  <si>
    <t>520.134.240-44</t>
  </si>
  <si>
    <t>Cliente 204</t>
  </si>
  <si>
    <t>520.980.912-06</t>
  </si>
  <si>
    <t>Cliente 529</t>
  </si>
  <si>
    <t>529.693.934-31</t>
  </si>
  <si>
    <t>Cliente 597</t>
  </si>
  <si>
    <t>530.000.442-81</t>
  </si>
  <si>
    <t>Cliente 37</t>
  </si>
  <si>
    <t>531.576.575-24</t>
  </si>
  <si>
    <t>Cliente 562</t>
  </si>
  <si>
    <t>532.337.700-82</t>
  </si>
  <si>
    <t>Cliente 525</t>
  </si>
  <si>
    <t>538.893.602-69</t>
  </si>
  <si>
    <t>Cliente 239</t>
  </si>
  <si>
    <t>539.897.551-07</t>
  </si>
  <si>
    <t>Cliente 377</t>
  </si>
  <si>
    <t>540.600.676-33</t>
  </si>
  <si>
    <t>Cliente 276</t>
  </si>
  <si>
    <t>541.362.908-11</t>
  </si>
  <si>
    <t>Cliente 215</t>
  </si>
  <si>
    <t>544.152.659-92</t>
  </si>
  <si>
    <t>Cliente 466</t>
  </si>
  <si>
    <t>544.925.756-76</t>
  </si>
  <si>
    <t>Cliente 302</t>
  </si>
  <si>
    <t>548.738.042-16</t>
  </si>
  <si>
    <t>Cliente 190</t>
  </si>
  <si>
    <t>553.208.551-28</t>
  </si>
  <si>
    <t>Cliente 44</t>
  </si>
  <si>
    <t>557.019.068-22</t>
  </si>
  <si>
    <t>Cliente 272</t>
  </si>
  <si>
    <t>557.924.884-31</t>
  </si>
  <si>
    <t>Cliente 81</t>
  </si>
  <si>
    <t>565.399.055-34</t>
  </si>
  <si>
    <t>Cliente 357</t>
  </si>
  <si>
    <t>575.524.588-33</t>
  </si>
  <si>
    <t>Cliente 450</t>
  </si>
  <si>
    <t>581.489.991-67</t>
  </si>
  <si>
    <t>Cliente 491</t>
  </si>
  <si>
    <t>582.495.149-67</t>
  </si>
  <si>
    <t>Cliente 344</t>
  </si>
  <si>
    <t>582.708.610-88</t>
  </si>
  <si>
    <t>Cliente 526</t>
  </si>
  <si>
    <t>587.409.575-91</t>
  </si>
  <si>
    <t>Cliente 225</t>
  </si>
  <si>
    <t>592.806.350-17</t>
  </si>
  <si>
    <t>Cliente 20</t>
  </si>
  <si>
    <t>593.243.931-16</t>
  </si>
  <si>
    <t>Cliente 310</t>
  </si>
  <si>
    <t>594.625.346-58</t>
  </si>
  <si>
    <t>Cliente 3</t>
  </si>
  <si>
    <t>596.733.289-83</t>
  </si>
  <si>
    <t>Cliente 213</t>
  </si>
  <si>
    <t>600.214.637-33</t>
  </si>
  <si>
    <t>Cliente 59</t>
  </si>
  <si>
    <t>600.958.643-07</t>
  </si>
  <si>
    <t>Cliente 226</t>
  </si>
  <si>
    <t>602.714.682-86</t>
  </si>
  <si>
    <t>Cliente 453</t>
  </si>
  <si>
    <t>607.192.453-11</t>
  </si>
  <si>
    <t>Cliente 553</t>
  </si>
  <si>
    <t>609.541.669-54</t>
  </si>
  <si>
    <t>Cliente 47</t>
  </si>
  <si>
    <t>612.065.233-08</t>
  </si>
  <si>
    <t>Cliente 417</t>
  </si>
  <si>
    <t>613.029.616-29</t>
  </si>
  <si>
    <t>Cliente 528</t>
  </si>
  <si>
    <t>614.432.630-45</t>
  </si>
  <si>
    <t>Cliente 487</t>
  </si>
  <si>
    <t>614.658.481-18</t>
  </si>
  <si>
    <t>Cliente 176</t>
  </si>
  <si>
    <t>616.686.805-88</t>
  </si>
  <si>
    <t>Cliente 18</t>
  </si>
  <si>
    <t>619.394.752-16</t>
  </si>
  <si>
    <t>Cliente 154</t>
  </si>
  <si>
    <t>621.313.468-36</t>
  </si>
  <si>
    <t>Cliente 501</t>
  </si>
  <si>
    <t>624.839.370-26</t>
  </si>
  <si>
    <t>Cliente 567</t>
  </si>
  <si>
    <t>627.164.829-94</t>
  </si>
  <si>
    <t>Cliente 95</t>
  </si>
  <si>
    <t>630.530.833-25</t>
  </si>
  <si>
    <t>Cliente 161</t>
  </si>
  <si>
    <t>638.004.298-41</t>
  </si>
  <si>
    <t>Cliente 579</t>
  </si>
  <si>
    <t>639.958.067-79</t>
  </si>
  <si>
    <t>Cliente 333</t>
  </si>
  <si>
    <t>641.768.995-42</t>
  </si>
  <si>
    <t>Cliente 478</t>
  </si>
  <si>
    <t>643.637.479-54</t>
  </si>
  <si>
    <t>Cliente 261</t>
  </si>
  <si>
    <t>650.613.294-38</t>
  </si>
  <si>
    <t>Cliente 278</t>
  </si>
  <si>
    <t>663.701.309-09</t>
  </si>
  <si>
    <t>Cliente 28</t>
  </si>
  <si>
    <t>669.536.990-20</t>
  </si>
  <si>
    <t>Cliente 359</t>
  </si>
  <si>
    <t>674.860.431-16</t>
  </si>
  <si>
    <t>Cliente 542</t>
  </si>
  <si>
    <t>675.340.694-30</t>
  </si>
  <si>
    <t>Cliente 218</t>
  </si>
  <si>
    <t>676.124.399-07</t>
  </si>
  <si>
    <t>Cliente 160</t>
  </si>
  <si>
    <t>677.232.366-75</t>
  </si>
  <si>
    <t>Cliente 131</t>
  </si>
  <si>
    <t>680.923.823-13</t>
  </si>
  <si>
    <t>Cliente 171</t>
  </si>
  <si>
    <t>684.172.041-41</t>
  </si>
  <si>
    <t>Cliente 569</t>
  </si>
  <si>
    <t>685.956.279-74</t>
  </si>
  <si>
    <t>Cliente 327</t>
  </si>
  <si>
    <t>686.723.097-63</t>
  </si>
  <si>
    <t>Cliente 507</t>
  </si>
  <si>
    <t>688.350.455-86</t>
  </si>
  <si>
    <t>Cliente 406</t>
  </si>
  <si>
    <t>694.455.568-84</t>
  </si>
  <si>
    <t>Cliente 559</t>
  </si>
  <si>
    <t>697.430.837-41</t>
  </si>
  <si>
    <t>Cliente 321</t>
  </si>
  <si>
    <t>700.227.059-73</t>
  </si>
  <si>
    <t>Cliente 481</t>
  </si>
  <si>
    <t>703.638.130-52</t>
  </si>
  <si>
    <t>Cliente 188</t>
  </si>
  <si>
    <t>714.432.250-80</t>
  </si>
  <si>
    <t>Cliente 301</t>
  </si>
  <si>
    <t>720.254.186-55</t>
  </si>
  <si>
    <t>Cliente 100</t>
  </si>
  <si>
    <t>721.485.928-89</t>
  </si>
  <si>
    <t>Cliente 288</t>
  </si>
  <si>
    <t>723.207.934-18</t>
  </si>
  <si>
    <t>Cliente 600</t>
  </si>
  <si>
    <t>724.812.866-67</t>
  </si>
  <si>
    <t>Cliente 287</t>
  </si>
  <si>
    <t>724.838.274-86</t>
  </si>
  <si>
    <t>Cliente 498</t>
  </si>
  <si>
    <t>729.286.345-17</t>
  </si>
  <si>
    <t>Cliente 110</t>
  </si>
  <si>
    <t>733.582.774-03</t>
  </si>
  <si>
    <t>Cliente 374</t>
  </si>
  <si>
    <t>735.377.825-82</t>
  </si>
  <si>
    <t>Cliente 328</t>
  </si>
  <si>
    <t>736.318.629-64</t>
  </si>
  <si>
    <t>Cliente 554</t>
  </si>
  <si>
    <t>741.305.564-45</t>
  </si>
  <si>
    <t>Cliente 399</t>
  </si>
  <si>
    <t>745.480.980-66</t>
  </si>
  <si>
    <t>Cliente 316</t>
  </si>
  <si>
    <t>747.060.134-75</t>
  </si>
  <si>
    <t>Cliente 536</t>
  </si>
  <si>
    <t>751.943.200-89</t>
  </si>
  <si>
    <t>Cliente 599</t>
  </si>
  <si>
    <t>756.195.744-46</t>
  </si>
  <si>
    <t>Cliente 205</t>
  </si>
  <si>
    <t>757.842.728-84</t>
  </si>
  <si>
    <t>Cliente 42</t>
  </si>
  <si>
    <t>766.606.955-15</t>
  </si>
  <si>
    <t>Cliente 305</t>
  </si>
  <si>
    <t>769.175.717-52</t>
  </si>
  <si>
    <t>Cliente 178</t>
  </si>
  <si>
    <t>771.108.531-40</t>
  </si>
  <si>
    <t>Cliente 30</t>
  </si>
  <si>
    <t>773.527.620-84</t>
  </si>
  <si>
    <t>Cliente 162</t>
  </si>
  <si>
    <t>781.083.432-80</t>
  </si>
  <si>
    <t>Cliente 179</t>
  </si>
  <si>
    <t>784.675.923-26</t>
  </si>
  <si>
    <t>Cliente 394</t>
  </si>
  <si>
    <t>787.911.137-36</t>
  </si>
  <si>
    <t>Cliente 41</t>
  </si>
  <si>
    <t>790.745.071-95</t>
  </si>
  <si>
    <t>Cliente 138</t>
  </si>
  <si>
    <t>797.775.402-23</t>
  </si>
  <si>
    <t>Cliente 304</t>
  </si>
  <si>
    <t>800.975.570-58</t>
  </si>
  <si>
    <t>Cliente 512</t>
  </si>
  <si>
    <t>807.938.581-08</t>
  </si>
  <si>
    <t>Cliente 483</t>
  </si>
  <si>
    <t>811.710.007-62</t>
  </si>
  <si>
    <t>Cliente 112</t>
  </si>
  <si>
    <t>813.899.175-48</t>
  </si>
  <si>
    <t>Cliente 590</t>
  </si>
  <si>
    <t>814.514.226-18</t>
  </si>
  <si>
    <t>Cliente 409</t>
  </si>
  <si>
    <t>814.762.460-55</t>
  </si>
  <si>
    <t>Cliente 456</t>
  </si>
  <si>
    <t>814.817.977-50</t>
  </si>
  <si>
    <t>Cliente 55</t>
  </si>
  <si>
    <t>823.875.498-71</t>
  </si>
  <si>
    <t>Cliente 228</t>
  </si>
  <si>
    <t>828.658.522-41</t>
  </si>
  <si>
    <t>Cliente 35</t>
  </si>
  <si>
    <t>832.509.802-94</t>
  </si>
  <si>
    <t>Cliente 26</t>
  </si>
  <si>
    <t>839.697.221-44</t>
  </si>
  <si>
    <t>Cliente 137</t>
  </si>
  <si>
    <t>848.473.586-19</t>
  </si>
  <si>
    <t>Cliente 150</t>
  </si>
  <si>
    <t>849.204.583-13</t>
  </si>
  <si>
    <t>Cliente 33</t>
  </si>
  <si>
    <t>849.910.131-72</t>
  </si>
  <si>
    <t>Cliente 492</t>
  </si>
  <si>
    <t>851.863.830-00</t>
  </si>
  <si>
    <t>Cliente 254</t>
  </si>
  <si>
    <t>859.889.413-40</t>
  </si>
  <si>
    <t>Cliente 587</t>
  </si>
  <si>
    <t>865.721.690-84</t>
  </si>
  <si>
    <t>Cliente 414</t>
  </si>
  <si>
    <t>867.123.979-82</t>
  </si>
  <si>
    <t>Cliente 381</t>
  </si>
  <si>
    <t>868.938.644-47</t>
  </si>
  <si>
    <t>Cliente 490</t>
  </si>
  <si>
    <t>871.357.905-58</t>
  </si>
  <si>
    <t>Cliente 166</t>
  </si>
  <si>
    <t>871.915.569-81</t>
  </si>
  <si>
    <t>Cliente 85</t>
  </si>
  <si>
    <t>873.820.623-77</t>
  </si>
  <si>
    <t>Cliente 367</t>
  </si>
  <si>
    <t>876.211.035-23</t>
  </si>
  <si>
    <t>Cliente 57</t>
  </si>
  <si>
    <t>876.259.791-57</t>
  </si>
  <si>
    <t>Cliente 571</t>
  </si>
  <si>
    <t>877.044.762-35</t>
  </si>
  <si>
    <t>Cliente 303</t>
  </si>
  <si>
    <t>877.608.453-87</t>
  </si>
  <si>
    <t>Cliente 419</t>
  </si>
  <si>
    <t>878.387.770-30</t>
  </si>
  <si>
    <t>Cliente 277</t>
  </si>
  <si>
    <t>880.093.608-23</t>
  </si>
  <si>
    <t>Cliente 518</t>
  </si>
  <si>
    <t>884.635.803-45</t>
  </si>
  <si>
    <t>Cliente 156</t>
  </si>
  <si>
    <t>885.100.969-67</t>
  </si>
  <si>
    <t>Cliente 299</t>
  </si>
  <si>
    <t>890.361.297-47</t>
  </si>
  <si>
    <t>Cliente 540</t>
  </si>
  <si>
    <t>890.736.255-35</t>
  </si>
  <si>
    <t>Cliente 531</t>
  </si>
  <si>
    <t>897.317.756-48</t>
  </si>
  <si>
    <t>Cliente 275</t>
  </si>
  <si>
    <t>900.080.424-97</t>
  </si>
  <si>
    <t>Cliente 142</t>
  </si>
  <si>
    <t>900.763.203-63</t>
  </si>
  <si>
    <t>Cliente 482</t>
  </si>
  <si>
    <t>905.365.247-47</t>
  </si>
  <si>
    <t>Cliente 339</t>
  </si>
  <si>
    <t>905.582.149-02</t>
  </si>
  <si>
    <t>Cliente 424</t>
  </si>
  <si>
    <t>905.590.490-99</t>
  </si>
  <si>
    <t>Cliente 433</t>
  </si>
  <si>
    <t>906.342.040-26</t>
  </si>
  <si>
    <t>Cliente 75</t>
  </si>
  <si>
    <t>910.793.355-63</t>
  </si>
  <si>
    <t>Cliente 471</t>
  </si>
  <si>
    <t>915.610.424-36</t>
  </si>
  <si>
    <t>Cliente 534</t>
  </si>
  <si>
    <t>918.210.171-35</t>
  </si>
  <si>
    <t>Cliente 472</t>
  </si>
  <si>
    <t>920.657.103-08</t>
  </si>
  <si>
    <t>Cliente 129</t>
  </si>
  <si>
    <t>921.374.488-04</t>
  </si>
  <si>
    <t>Cliente 71</t>
  </si>
  <si>
    <t>924.534.100-42</t>
  </si>
  <si>
    <t>Cliente 369</t>
  </si>
  <si>
    <t>928.684.764-76</t>
  </si>
  <si>
    <t>Cliente 201</t>
  </si>
  <si>
    <t>931.880.177-29</t>
  </si>
  <si>
    <t>Cliente 593</t>
  </si>
  <si>
    <t>932.849.069-03</t>
  </si>
  <si>
    <t>Cliente 127</t>
  </si>
  <si>
    <t>934.224.355-68</t>
  </si>
  <si>
    <t>Cliente 444</t>
  </si>
  <si>
    <t>934.690.386-79</t>
  </si>
  <si>
    <t>Cliente 517</t>
  </si>
  <si>
    <t>935.538.950-19</t>
  </si>
  <si>
    <t>Cliente 436</t>
  </si>
  <si>
    <t>937.527.565-73</t>
  </si>
  <si>
    <t>Cliente 573</t>
  </si>
  <si>
    <t>939.349.389-68</t>
  </si>
  <si>
    <t>Cliente 348</t>
  </si>
  <si>
    <t>939.930.581-13</t>
  </si>
  <si>
    <t>Cliente 84</t>
  </si>
  <si>
    <t>942.949.260-90</t>
  </si>
  <si>
    <t>Cliente 107</t>
  </si>
  <si>
    <t>943.618.284-20</t>
  </si>
  <si>
    <t>Cliente 508</t>
  </si>
  <si>
    <t>947.125.882-99</t>
  </si>
  <si>
    <t>Cliente 560</t>
  </si>
  <si>
    <t>950.159.030-29</t>
  </si>
  <si>
    <t>Cliente 496</t>
  </si>
  <si>
    <t>950.383.894-49</t>
  </si>
  <si>
    <t>Cliente 408</t>
  </si>
  <si>
    <t>950.623.884-52</t>
  </si>
  <si>
    <t>Cliente 49</t>
  </si>
  <si>
    <t>955.974.576-29</t>
  </si>
  <si>
    <t>Cliente 312</t>
  </si>
  <si>
    <t>962.898.832-84</t>
  </si>
  <si>
    <t>Cliente 210</t>
  </si>
  <si>
    <t>963.498.948-99</t>
  </si>
  <si>
    <t>Cliente 476</t>
  </si>
  <si>
    <t>972.882.062-97</t>
  </si>
  <si>
    <t>Cliente 396</t>
  </si>
  <si>
    <t>973.858.301-52</t>
  </si>
  <si>
    <t>Cliente 221</t>
  </si>
  <si>
    <t>974.562.680-29</t>
  </si>
  <si>
    <t>Cliente 61</t>
  </si>
  <si>
    <t>974.623.686-99</t>
  </si>
  <si>
    <t>Cliente 170</t>
  </si>
  <si>
    <t>980.090.296-94</t>
  </si>
  <si>
    <t>Cliente 93</t>
  </si>
  <si>
    <t>982.949.728-93</t>
  </si>
  <si>
    <t>Cliente 8</t>
  </si>
  <si>
    <t>983.629.863-93</t>
  </si>
  <si>
    <t>Cliente 169</t>
  </si>
  <si>
    <t>988.445.438-75</t>
  </si>
  <si>
    <t>Cliente 189</t>
  </si>
  <si>
    <t>989.585.873-27</t>
  </si>
  <si>
    <t>Cliente 29</t>
  </si>
  <si>
    <t>998.547.899-40</t>
  </si>
  <si>
    <t>Cliente 94</t>
  </si>
  <si>
    <t>999.479.926-66</t>
  </si>
  <si>
    <t>Cliente 21</t>
  </si>
  <si>
    <t>999.543.040-75</t>
  </si>
  <si>
    <t>Cliente 387</t>
  </si>
  <si>
    <t>999.634.701-90</t>
  </si>
  <si>
    <t>Valor faturado</t>
  </si>
  <si>
    <t>Data de pagamento</t>
  </si>
  <si>
    <t>10035178480</t>
  </si>
  <si>
    <t>10068099127</t>
  </si>
  <si>
    <t>10347093528</t>
  </si>
  <si>
    <t>10347849894</t>
  </si>
  <si>
    <t>10558070640</t>
  </si>
  <si>
    <t>10909770965</t>
  </si>
  <si>
    <t>11470034718</t>
  </si>
  <si>
    <t>11606374542</t>
  </si>
  <si>
    <t>11920163299</t>
  </si>
  <si>
    <t>11994066271</t>
  </si>
  <si>
    <t>12019485890</t>
  </si>
  <si>
    <t>12113219796</t>
  </si>
  <si>
    <t>12123149485</t>
  </si>
  <si>
    <t>12706211588</t>
  </si>
  <si>
    <t>12766025437</t>
  </si>
  <si>
    <t>12921411492</t>
  </si>
  <si>
    <t>13138163138</t>
  </si>
  <si>
    <t>13181529906</t>
  </si>
  <si>
    <t>13368499279</t>
  </si>
  <si>
    <t>13381431787</t>
  </si>
  <si>
    <t>13486420884</t>
  </si>
  <si>
    <t>13697502921</t>
  </si>
  <si>
    <t>14083526808</t>
  </si>
  <si>
    <t>14372596772</t>
  </si>
  <si>
    <t>14414455867</t>
  </si>
  <si>
    <t>14555157663</t>
  </si>
  <si>
    <t>14576313678</t>
  </si>
  <si>
    <t>14639392952</t>
  </si>
  <si>
    <t>14644757600</t>
  </si>
  <si>
    <t>15507968762</t>
  </si>
  <si>
    <t>15701060351</t>
  </si>
  <si>
    <t>15720902707</t>
  </si>
  <si>
    <t>15779736258</t>
  </si>
  <si>
    <t>16427246760</t>
  </si>
  <si>
    <t>16624663764</t>
  </si>
  <si>
    <t>16708150877</t>
  </si>
  <si>
    <t>16749652338</t>
  </si>
  <si>
    <t>16793089638</t>
  </si>
  <si>
    <t>16803870511</t>
  </si>
  <si>
    <t>16978230753</t>
  </si>
  <si>
    <t>17056663697</t>
  </si>
  <si>
    <t>17125319287</t>
  </si>
  <si>
    <t>17165461649</t>
  </si>
  <si>
    <t>17376203696</t>
  </si>
  <si>
    <t>17618665739</t>
  </si>
  <si>
    <t>17730108966</t>
  </si>
  <si>
    <t>17980400608</t>
  </si>
  <si>
    <t>18005549041</t>
  </si>
  <si>
    <t>18068604357</t>
  </si>
  <si>
    <t>18175071887</t>
  </si>
  <si>
    <t>18268979430</t>
  </si>
  <si>
    <t>18329907615</t>
  </si>
  <si>
    <t>18449763981</t>
  </si>
  <si>
    <t>18475395928</t>
  </si>
  <si>
    <t>18516751252</t>
  </si>
  <si>
    <t>18646304656</t>
  </si>
  <si>
    <t>19586493079</t>
  </si>
  <si>
    <t>19601319693</t>
  </si>
  <si>
    <t>19718150365</t>
  </si>
  <si>
    <t>19737719647</t>
  </si>
  <si>
    <t>20211255841</t>
  </si>
  <si>
    <t>20503026585</t>
  </si>
  <si>
    <t>20524415427</t>
  </si>
  <si>
    <t>20723972248</t>
  </si>
  <si>
    <t>20917135664</t>
  </si>
  <si>
    <t>20964726373</t>
  </si>
  <si>
    <t>21381752319</t>
  </si>
  <si>
    <t>21404133734</t>
  </si>
  <si>
    <t>21545344262</t>
  </si>
  <si>
    <t>21622801375</t>
  </si>
  <si>
    <t>21664565023</t>
  </si>
  <si>
    <t>21691467158</t>
  </si>
  <si>
    <t>21738561130</t>
  </si>
  <si>
    <t>21930887195</t>
  </si>
  <si>
    <t>22330024275</t>
  </si>
  <si>
    <t>22333842682</t>
  </si>
  <si>
    <t>22425896465</t>
  </si>
  <si>
    <t>22544852110</t>
  </si>
  <si>
    <t>22935910618</t>
  </si>
  <si>
    <t>23142559648</t>
  </si>
  <si>
    <t>23268193885</t>
  </si>
  <si>
    <t>23315752077</t>
  </si>
  <si>
    <t>23476563251</t>
  </si>
  <si>
    <t>23629605405</t>
  </si>
  <si>
    <t>24058499688</t>
  </si>
  <si>
    <t>24235070640</t>
  </si>
  <si>
    <t>24246743998</t>
  </si>
  <si>
    <t>24340522540</t>
  </si>
  <si>
    <t>24641072647</t>
  </si>
  <si>
    <t>24947687311</t>
  </si>
  <si>
    <t>25054644977</t>
  </si>
  <si>
    <t>25247819897</t>
  </si>
  <si>
    <t>25574541498</t>
  </si>
  <si>
    <t>26121438552</t>
  </si>
  <si>
    <t>26461515686</t>
  </si>
  <si>
    <t>26493378700</t>
  </si>
  <si>
    <t>26691598856</t>
  </si>
  <si>
    <t>27113670427</t>
  </si>
  <si>
    <t>27312941637</t>
  </si>
  <si>
    <t>27475439920</t>
  </si>
  <si>
    <t>27507760081</t>
  </si>
  <si>
    <t>27674450597</t>
  </si>
  <si>
    <t>27761556553</t>
  </si>
  <si>
    <t>27847516322</t>
  </si>
  <si>
    <t>27897068340</t>
  </si>
  <si>
    <t>28229221006</t>
  </si>
  <si>
    <t>28389528151</t>
  </si>
  <si>
    <t>28401666026</t>
  </si>
  <si>
    <t>28409390588</t>
  </si>
  <si>
    <t>28591860000</t>
  </si>
  <si>
    <t>28708544014</t>
  </si>
  <si>
    <t>28734645645</t>
  </si>
  <si>
    <t>28995879361</t>
  </si>
  <si>
    <t>29023657102</t>
  </si>
  <si>
    <t>29200656524</t>
  </si>
  <si>
    <t>29291413528</t>
  </si>
  <si>
    <t>29618698846</t>
  </si>
  <si>
    <t>29847616541</t>
  </si>
  <si>
    <t>29876935639</t>
  </si>
  <si>
    <t>30361266028</t>
  </si>
  <si>
    <t>30516075555</t>
  </si>
  <si>
    <t>30623284141</t>
  </si>
  <si>
    <t>31077485942</t>
  </si>
  <si>
    <t>31261522571</t>
  </si>
  <si>
    <t>31360855667</t>
  </si>
  <si>
    <t>31545341603</t>
  </si>
  <si>
    <t>31723092404</t>
  </si>
  <si>
    <t>31844519889</t>
  </si>
  <si>
    <t>31939175264</t>
  </si>
  <si>
    <t>32056179112</t>
  </si>
  <si>
    <t>32251635550</t>
  </si>
  <si>
    <t>32442874850</t>
  </si>
  <si>
    <t>32445575761</t>
  </si>
  <si>
    <t>32603618903</t>
  </si>
  <si>
    <t>32754580919</t>
  </si>
  <si>
    <t>32756974080</t>
  </si>
  <si>
    <t>33200951092</t>
  </si>
  <si>
    <t>33330244030</t>
  </si>
  <si>
    <t>33596596826</t>
  </si>
  <si>
    <t>33698281703</t>
  </si>
  <si>
    <t>33755742473</t>
  </si>
  <si>
    <t>33864434758</t>
  </si>
  <si>
    <t>34075665236</t>
  </si>
  <si>
    <t>34258749971</t>
  </si>
  <si>
    <t>34321267262</t>
  </si>
  <si>
    <t>34533972950</t>
  </si>
  <si>
    <t>34769699902</t>
  </si>
  <si>
    <t>34843791204</t>
  </si>
  <si>
    <t>35102659602</t>
  </si>
  <si>
    <t>35241468001</t>
  </si>
  <si>
    <t>35278645467</t>
  </si>
  <si>
    <t>35642197653</t>
  </si>
  <si>
    <t>35644982201</t>
  </si>
  <si>
    <t>35722625446</t>
  </si>
  <si>
    <t>35799369627</t>
  </si>
  <si>
    <t>35905882520</t>
  </si>
  <si>
    <t>35986191033</t>
  </si>
  <si>
    <t>36354848379</t>
  </si>
  <si>
    <t>36881304437</t>
  </si>
  <si>
    <t>36921316304</t>
  </si>
  <si>
    <t>36940759318</t>
  </si>
  <si>
    <t>37009308494</t>
  </si>
  <si>
    <t>37060726144</t>
  </si>
  <si>
    <t>37309369468</t>
  </si>
  <si>
    <t>37897594549</t>
  </si>
  <si>
    <t>38002087268</t>
  </si>
  <si>
    <t>38245061659</t>
  </si>
  <si>
    <t>38276640603</t>
  </si>
  <si>
    <t>38479356583</t>
  </si>
  <si>
    <t>38621453271</t>
  </si>
  <si>
    <t>38706142890</t>
  </si>
  <si>
    <t>39183927327</t>
  </si>
  <si>
    <t>39188814236</t>
  </si>
  <si>
    <t>39385459705</t>
  </si>
  <si>
    <t>39597966962</t>
  </si>
  <si>
    <t>39601350564</t>
  </si>
  <si>
    <t>39745143013</t>
  </si>
  <si>
    <t>40096979066</t>
  </si>
  <si>
    <t>40285307440</t>
  </si>
  <si>
    <t>40512471566</t>
  </si>
  <si>
    <t>40697555604</t>
  </si>
  <si>
    <t>40910882284</t>
  </si>
  <si>
    <t>40987840691</t>
  </si>
  <si>
    <t>41185416771</t>
  </si>
  <si>
    <t>41210758281</t>
  </si>
  <si>
    <t>41263358630</t>
  </si>
  <si>
    <t>41501411778</t>
  </si>
  <si>
    <t>41517497984</t>
  </si>
  <si>
    <t>41628867133</t>
  </si>
  <si>
    <t>41668486615</t>
  </si>
  <si>
    <t>41782027885</t>
  </si>
  <si>
    <t>41832921043</t>
  </si>
  <si>
    <t>42063789316</t>
  </si>
  <si>
    <t>42370104789</t>
  </si>
  <si>
    <t>42608568618</t>
  </si>
  <si>
    <t>42625820582</t>
  </si>
  <si>
    <t>42659605391</t>
  </si>
  <si>
    <t>42874972925</t>
  </si>
  <si>
    <t>43322872924</t>
  </si>
  <si>
    <t>43360364678</t>
  </si>
  <si>
    <t>43379824955</t>
  </si>
  <si>
    <t>43407359404</t>
  </si>
  <si>
    <t>43423666928</t>
  </si>
  <si>
    <t>43507939792</t>
  </si>
  <si>
    <t>43559699168</t>
  </si>
  <si>
    <t>43608723405</t>
  </si>
  <si>
    <t>43676344145</t>
  </si>
  <si>
    <t>43867227088</t>
  </si>
  <si>
    <t>44325316048</t>
  </si>
  <si>
    <t>44382053907</t>
  </si>
  <si>
    <t>44415370572</t>
  </si>
  <si>
    <t>44422359936</t>
  </si>
  <si>
    <t>44423229021</t>
  </si>
  <si>
    <t>44452619235</t>
  </si>
  <si>
    <t>44670876976</t>
  </si>
  <si>
    <t>44820974258</t>
  </si>
  <si>
    <t>44837329594</t>
  </si>
  <si>
    <t>44894556549</t>
  </si>
  <si>
    <t>45018525698</t>
  </si>
  <si>
    <t>45070089121</t>
  </si>
  <si>
    <t>45386044531</t>
  </si>
  <si>
    <t>45575206843</t>
  </si>
  <si>
    <t>45698011895</t>
  </si>
  <si>
    <t>45765940289</t>
  </si>
  <si>
    <t>46219531250</t>
  </si>
  <si>
    <t>46428103568</t>
  </si>
  <si>
    <t>47315980598</t>
  </si>
  <si>
    <t>47463966097</t>
  </si>
  <si>
    <t>47765708723</t>
  </si>
  <si>
    <t>48146025205</t>
  </si>
  <si>
    <t>48219341631</t>
  </si>
  <si>
    <t>48393215352</t>
  </si>
  <si>
    <t>48713852638</t>
  </si>
  <si>
    <t>48811863697</t>
  </si>
  <si>
    <t>48823560316</t>
  </si>
  <si>
    <t>48834908357</t>
  </si>
  <si>
    <t>48891661242</t>
  </si>
  <si>
    <t>48950981459</t>
  </si>
  <si>
    <t>48964718482</t>
  </si>
  <si>
    <t>49409975467</t>
  </si>
  <si>
    <t>49436795126</t>
  </si>
  <si>
    <t>49648067475</t>
  </si>
  <si>
    <t>49648227752</t>
  </si>
  <si>
    <t>49711841918</t>
  </si>
  <si>
    <t>49906016636</t>
  </si>
  <si>
    <t>50101747376</t>
  </si>
  <si>
    <t>50124645992</t>
  </si>
  <si>
    <t>50141660184</t>
  </si>
  <si>
    <t>50698148459</t>
  </si>
  <si>
    <t>50846615899</t>
  </si>
  <si>
    <t>51415654710</t>
  </si>
  <si>
    <t>51634646266</t>
  </si>
  <si>
    <t>51770552315</t>
  </si>
  <si>
    <t>51863681967</t>
  </si>
  <si>
    <t>51914464187</t>
  </si>
  <si>
    <t>52013424044</t>
  </si>
  <si>
    <t>52098091206</t>
  </si>
  <si>
    <t>52488357799</t>
  </si>
  <si>
    <t>52527862981</t>
  </si>
  <si>
    <t>52969393431</t>
  </si>
  <si>
    <t>53000044281</t>
  </si>
  <si>
    <t>53031845277</t>
  </si>
  <si>
    <t>53157657524</t>
  </si>
  <si>
    <t>53233770082</t>
  </si>
  <si>
    <t>53394487378</t>
  </si>
  <si>
    <t>53889360269</t>
  </si>
  <si>
    <t>53989755107</t>
  </si>
  <si>
    <t>54060067633</t>
  </si>
  <si>
    <t>54136290811</t>
  </si>
  <si>
    <t>54387614900</t>
  </si>
  <si>
    <t>54415265992</t>
  </si>
  <si>
    <t>54492575676</t>
  </si>
  <si>
    <t>54527343156</t>
  </si>
  <si>
    <t>54720744853</t>
  </si>
  <si>
    <t>54873804216</t>
  </si>
  <si>
    <t>55213164091</t>
  </si>
  <si>
    <t>55320855128</t>
  </si>
  <si>
    <t>55421503183</t>
  </si>
  <si>
    <t>55701753285</t>
  </si>
  <si>
    <t>55701906822</t>
  </si>
  <si>
    <t>55792488431</t>
  </si>
  <si>
    <t>55844180898</t>
  </si>
  <si>
    <t>56240613943</t>
  </si>
  <si>
    <t>56539905534</t>
  </si>
  <si>
    <t>57413657804</t>
  </si>
  <si>
    <t>57552458833</t>
  </si>
  <si>
    <t>57944047841</t>
  </si>
  <si>
    <t>58148999167</t>
  </si>
  <si>
    <t>58249514967</t>
  </si>
  <si>
    <t>58270861088</t>
  </si>
  <si>
    <t>58471353109</t>
  </si>
  <si>
    <t>58740957591</t>
  </si>
  <si>
    <t>59188776282</t>
  </si>
  <si>
    <t>59196860850</t>
  </si>
  <si>
    <t>59280635017</t>
  </si>
  <si>
    <t>59290608506</t>
  </si>
  <si>
    <t>59308539774</t>
  </si>
  <si>
    <t>59324393116</t>
  </si>
  <si>
    <t>59364884973</t>
  </si>
  <si>
    <t>59462534658</t>
  </si>
  <si>
    <t>59858313655</t>
  </si>
  <si>
    <t>60021463733</t>
  </si>
  <si>
    <t>60252317043</t>
  </si>
  <si>
    <t>60271468286</t>
  </si>
  <si>
    <t>60333804194</t>
  </si>
  <si>
    <t>60719245311</t>
  </si>
  <si>
    <t>60739388191</t>
  </si>
  <si>
    <t>60954166954</t>
  </si>
  <si>
    <t>61206523308</t>
  </si>
  <si>
    <t>61302961629</t>
  </si>
  <si>
    <t>61350834145</t>
  </si>
  <si>
    <t>61443263045</t>
  </si>
  <si>
    <t>61465848118</t>
  </si>
  <si>
    <t>61540307470</t>
  </si>
  <si>
    <t>61593482463</t>
  </si>
  <si>
    <t>61668680588</t>
  </si>
  <si>
    <t>61939475216</t>
  </si>
  <si>
    <t>62131346836</t>
  </si>
  <si>
    <t>62343471729</t>
  </si>
  <si>
    <t>62483937026</t>
  </si>
  <si>
    <t>62485626757</t>
  </si>
  <si>
    <t>62716482994</t>
  </si>
  <si>
    <t>62850362472</t>
  </si>
  <si>
    <t>62947795892</t>
  </si>
  <si>
    <t>63053083325</t>
  </si>
  <si>
    <t>63191650037</t>
  </si>
  <si>
    <t>63204387825</t>
  </si>
  <si>
    <t>63800429841</t>
  </si>
  <si>
    <t>63995806779</t>
  </si>
  <si>
    <t>64176899542</t>
  </si>
  <si>
    <t>64363747954</t>
  </si>
  <si>
    <t>65061329438</t>
  </si>
  <si>
    <t>65117648937</t>
  </si>
  <si>
    <t>65267985440</t>
  </si>
  <si>
    <t>65425483723</t>
  </si>
  <si>
    <t>65552189484</t>
  </si>
  <si>
    <t>65748321003</t>
  </si>
  <si>
    <t>65959835898</t>
  </si>
  <si>
    <t>66017994987</t>
  </si>
  <si>
    <t>66175359808</t>
  </si>
  <si>
    <t>66299021077</t>
  </si>
  <si>
    <t>66370130909</t>
  </si>
  <si>
    <t>66472026623</t>
  </si>
  <si>
    <t>66868051070</t>
  </si>
  <si>
    <t>66909179853</t>
  </si>
  <si>
    <t>66915840595</t>
  </si>
  <si>
    <t>66921477819</t>
  </si>
  <si>
    <t>66953699020</t>
  </si>
  <si>
    <t>67181396739</t>
  </si>
  <si>
    <t>67486043116</t>
  </si>
  <si>
    <t>67534069430</t>
  </si>
  <si>
    <t>67561313790</t>
  </si>
  <si>
    <t>67563233991</t>
  </si>
  <si>
    <t>67612439907</t>
  </si>
  <si>
    <t>67713493337</t>
  </si>
  <si>
    <t>67723236675</t>
  </si>
  <si>
    <t>68035282558</t>
  </si>
  <si>
    <t>68092382313</t>
  </si>
  <si>
    <t>68417204141</t>
  </si>
  <si>
    <t>68595627974</t>
  </si>
  <si>
    <t>68672309763</t>
  </si>
  <si>
    <t>68835045586</t>
  </si>
  <si>
    <t>68931097764</t>
  </si>
  <si>
    <t>69445556884</t>
  </si>
  <si>
    <t>69717807793</t>
  </si>
  <si>
    <t>69743083741</t>
  </si>
  <si>
    <t>69745639834</t>
  </si>
  <si>
    <t>70016533261</t>
  </si>
  <si>
    <t>70022705973</t>
  </si>
  <si>
    <t>70292554263</t>
  </si>
  <si>
    <t>70363813052</t>
  </si>
  <si>
    <t>70854336178</t>
  </si>
  <si>
    <t>71164518364</t>
  </si>
  <si>
    <t>71329764015</t>
  </si>
  <si>
    <t>71443225080</t>
  </si>
  <si>
    <t>71466586126</t>
  </si>
  <si>
    <t>71566720797</t>
  </si>
  <si>
    <t>71742791566</t>
  </si>
  <si>
    <t>71897943376</t>
  </si>
  <si>
    <t>72001804987</t>
  </si>
  <si>
    <t>72002224773</t>
  </si>
  <si>
    <t>72025418655</t>
  </si>
  <si>
    <t>72320793418</t>
  </si>
  <si>
    <t>72364877592</t>
  </si>
  <si>
    <t>72374777914</t>
  </si>
  <si>
    <t>72481286667</t>
  </si>
  <si>
    <t>72483827486</t>
  </si>
  <si>
    <t>72928634517</t>
  </si>
  <si>
    <t>72985861489</t>
  </si>
  <si>
    <t>73358277403</t>
  </si>
  <si>
    <t>73364083091</t>
  </si>
  <si>
    <t>73443305972</t>
  </si>
  <si>
    <t>73537782582</t>
  </si>
  <si>
    <t>73631862964</t>
  </si>
  <si>
    <t>73820522983</t>
  </si>
  <si>
    <t>74130556445</t>
  </si>
  <si>
    <t>74548098066</t>
  </si>
  <si>
    <t>74680883174</t>
  </si>
  <si>
    <t>74706013475</t>
  </si>
  <si>
    <t>74806657227</t>
  </si>
  <si>
    <t>74903640390</t>
  </si>
  <si>
    <t>75131787960</t>
  </si>
  <si>
    <t>75175476786</t>
  </si>
  <si>
    <t>75194320089</t>
  </si>
  <si>
    <t>75252280913</t>
  </si>
  <si>
    <t>75619574446</t>
  </si>
  <si>
    <t>75630002663</t>
  </si>
  <si>
    <t>75784272884</t>
  </si>
  <si>
    <t>75945832948</t>
  </si>
  <si>
    <t>76405264483</t>
  </si>
  <si>
    <t>76514001923</t>
  </si>
  <si>
    <t>76660695515</t>
  </si>
  <si>
    <t>76720670292</t>
  </si>
  <si>
    <t>76917571752</t>
  </si>
  <si>
    <t>77110853140</t>
  </si>
  <si>
    <t>77192589467</t>
  </si>
  <si>
    <t>77504386209</t>
  </si>
  <si>
    <t>78082982354</t>
  </si>
  <si>
    <t>78108343280</t>
  </si>
  <si>
    <t>78221043892</t>
  </si>
  <si>
    <t>78275587932</t>
  </si>
  <si>
    <t>78467592326</t>
  </si>
  <si>
    <t>78775444289</t>
  </si>
  <si>
    <t>78791113736</t>
  </si>
  <si>
    <t>79641009184</t>
  </si>
  <si>
    <t>79777540223</t>
  </si>
  <si>
    <t>79801580959</t>
  </si>
  <si>
    <t>79887504102</t>
  </si>
  <si>
    <t>79922187142</t>
  </si>
  <si>
    <t>80003320940</t>
  </si>
  <si>
    <t>80097557058</t>
  </si>
  <si>
    <t>80138432046</t>
  </si>
  <si>
    <t>80792760458</t>
  </si>
  <si>
    <t>80793858108</t>
  </si>
  <si>
    <t>81171000762</t>
  </si>
  <si>
    <t>81451422618</t>
  </si>
  <si>
    <t>81476246055</t>
  </si>
  <si>
    <t>81481797750</t>
  </si>
  <si>
    <t>81972584211</t>
  </si>
  <si>
    <t>82188162592</t>
  </si>
  <si>
    <t>82597834298</t>
  </si>
  <si>
    <t>82718945895</t>
  </si>
  <si>
    <t>82865852241</t>
  </si>
  <si>
    <t>83250980294</t>
  </si>
  <si>
    <t>83433289595</t>
  </si>
  <si>
    <t>83578565396</t>
  </si>
  <si>
    <t>83969722144</t>
  </si>
  <si>
    <t>84319694697</t>
  </si>
  <si>
    <t>84322523309</t>
  </si>
  <si>
    <t>84349534756</t>
  </si>
  <si>
    <t>84847358619</t>
  </si>
  <si>
    <t>84920458313</t>
  </si>
  <si>
    <t>84991013172</t>
  </si>
  <si>
    <t>85186383000</t>
  </si>
  <si>
    <t>85680328509</t>
  </si>
  <si>
    <t>85759860825</t>
  </si>
  <si>
    <t>85988941340</t>
  </si>
  <si>
    <t>86024052075</t>
  </si>
  <si>
    <t>86075504999</t>
  </si>
  <si>
    <t>86088885942</t>
  </si>
  <si>
    <t>86381483585</t>
  </si>
  <si>
    <t>86570872260</t>
  </si>
  <si>
    <t>86572169084</t>
  </si>
  <si>
    <t>86712397982</t>
  </si>
  <si>
    <t>86779003549</t>
  </si>
  <si>
    <t>86893864447</t>
  </si>
  <si>
    <t>87135790558</t>
  </si>
  <si>
    <t>87191556981</t>
  </si>
  <si>
    <t>87382062377</t>
  </si>
  <si>
    <t>87510836864</t>
  </si>
  <si>
    <t>87613711446</t>
  </si>
  <si>
    <t>87621103523</t>
  </si>
  <si>
    <t>87625979157</t>
  </si>
  <si>
    <t>87704476235</t>
  </si>
  <si>
    <t>87760845387</t>
  </si>
  <si>
    <t>87838777030</t>
  </si>
  <si>
    <t>88009360823</t>
  </si>
  <si>
    <t>88167700339</t>
  </si>
  <si>
    <t>88369933883</t>
  </si>
  <si>
    <t>88463580345</t>
  </si>
  <si>
    <t>88510096967</t>
  </si>
  <si>
    <t>88768619497</t>
  </si>
  <si>
    <t>88904404144</t>
  </si>
  <si>
    <t>89036129747</t>
  </si>
  <si>
    <t>89073625535</t>
  </si>
  <si>
    <t>89126935150</t>
  </si>
  <si>
    <t>89531735285</t>
  </si>
  <si>
    <t>89731775648</t>
  </si>
  <si>
    <t>89936570556</t>
  </si>
  <si>
    <t>90008042497</t>
  </si>
  <si>
    <t>90229387145</t>
  </si>
  <si>
    <t>90536524747</t>
  </si>
  <si>
    <t>90558214902</t>
  </si>
  <si>
    <t>90559049099</t>
  </si>
  <si>
    <t>90634204026</t>
  </si>
  <si>
    <t>90719790842</t>
  </si>
  <si>
    <t>90948874308</t>
  </si>
  <si>
    <t>91079335563</t>
  </si>
  <si>
    <t>91115775609</t>
  </si>
  <si>
    <t>91230368786</t>
  </si>
  <si>
    <t>91488746481</t>
  </si>
  <si>
    <t>91554773893</t>
  </si>
  <si>
    <t>91561042436</t>
  </si>
  <si>
    <t>91821017135</t>
  </si>
  <si>
    <t>91898328279</t>
  </si>
  <si>
    <t>92065710308</t>
  </si>
  <si>
    <t>92141502527</t>
  </si>
  <si>
    <t>92868476476</t>
  </si>
  <si>
    <t>92871093640</t>
  </si>
  <si>
    <t>93188017729</t>
  </si>
  <si>
    <t>93230313688</t>
  </si>
  <si>
    <t>93251549646</t>
  </si>
  <si>
    <t>93284906903</t>
  </si>
  <si>
    <t>93422435568</t>
  </si>
  <si>
    <t>93469038679</t>
  </si>
  <si>
    <t>93553895019</t>
  </si>
  <si>
    <t>93593939526</t>
  </si>
  <si>
    <t>93752756573</t>
  </si>
  <si>
    <t>93774912750</t>
  </si>
  <si>
    <t>93934938968</t>
  </si>
  <si>
    <t>93935611923</t>
  </si>
  <si>
    <t>93993058113</t>
  </si>
  <si>
    <t>94180878908</t>
  </si>
  <si>
    <t>94712588299</t>
  </si>
  <si>
    <t>95015903029</t>
  </si>
  <si>
    <t>95038389449</t>
  </si>
  <si>
    <t>95039577120</t>
  </si>
  <si>
    <t>95062388452</t>
  </si>
  <si>
    <t>95830782450</t>
  </si>
  <si>
    <t>95853986923</t>
  </si>
  <si>
    <t>95944777286</t>
  </si>
  <si>
    <t>96289883284</t>
  </si>
  <si>
    <t>96349894899</t>
  </si>
  <si>
    <t>96683700678</t>
  </si>
  <si>
    <t>97288206297</t>
  </si>
  <si>
    <t>97385830152</t>
  </si>
  <si>
    <t>97456268029</t>
  </si>
  <si>
    <t>97462368699</t>
  </si>
  <si>
    <t>97561062644</t>
  </si>
  <si>
    <t>97595559778</t>
  </si>
  <si>
    <t>97620619297</t>
  </si>
  <si>
    <t>97686845004</t>
  </si>
  <si>
    <t>98009029694</t>
  </si>
  <si>
    <t>98282076573</t>
  </si>
  <si>
    <t>98362986393</t>
  </si>
  <si>
    <t>98844543875</t>
  </si>
  <si>
    <t>98958587327</t>
  </si>
  <si>
    <t>99194980755</t>
  </si>
  <si>
    <t>99651843458</t>
  </si>
  <si>
    <t>99831403728</t>
  </si>
  <si>
    <t>99854789940</t>
  </si>
  <si>
    <t>99947992666</t>
  </si>
  <si>
    <t>99954304075</t>
  </si>
  <si>
    <t>99963470190</t>
  </si>
  <si>
    <t>Time</t>
  </si>
  <si>
    <t>Produto</t>
  </si>
  <si>
    <t>Comissão</t>
  </si>
  <si>
    <t>Comissionamento dos vendedores</t>
  </si>
  <si>
    <t>Time 1</t>
  </si>
  <si>
    <t>Comissão do backoffice</t>
  </si>
  <si>
    <t>Time 2</t>
  </si>
  <si>
    <t>Time 3</t>
  </si>
  <si>
    <t>&gt;&gt;&gt; Formula "Unique"</t>
  </si>
  <si>
    <t>&gt;&gt;&gt; Arrayformula</t>
  </si>
  <si>
    <t>&gt;&gt;&gt; expressão "{}"</t>
  </si>
  <si>
    <t>&gt;&gt;&gt; Expressão " \ " permite separar informações em colunas</t>
  </si>
  <si>
    <t>Traz os valores únicos de uma teterminada tabela</t>
  </si>
  <si>
    <t>É uma formula que preenche todas as linhas abaixo da coluna com a formula entro dela</t>
  </si>
  <si>
    <t>Permite criar uma matrix com diferentes colunas</t>
  </si>
  <si>
    <t>Data</t>
  </si>
  <si>
    <t>Valor</t>
  </si>
  <si>
    <t>Valor * 10</t>
  </si>
  <si>
    <t>Coluna 1</t>
  </si>
  <si>
    <t>Coluna 2</t>
  </si>
  <si>
    <t>Coluna 3</t>
  </si>
  <si>
    <t>Exemplo</t>
  </si>
  <si>
    <t>Jan</t>
  </si>
  <si>
    <t>Fev</t>
  </si>
  <si>
    <t>Valor Total Faturado</t>
  </si>
  <si>
    <t>Comissão Vendedores</t>
  </si>
  <si>
    <t>Quantidade de Vendas</t>
  </si>
  <si>
    <t>Ticket Médio</t>
  </si>
  <si>
    <t>Comissão Backoffice</t>
  </si>
  <si>
    <t>Rótulos de Linha</t>
  </si>
  <si>
    <t>Total Geral</t>
  </si>
  <si>
    <t>Soma de Valor Comissão Real</t>
  </si>
  <si>
    <t>Soma de Valor de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</si>
</sst>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R$ -416]#,##0.00"/>
    <numFmt numFmtId="170" formatCode="&quot;R$&quot;\ #,##0.00"/>
  </numFmts>
  <fonts count="8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6"/>
      <color rgb="FF000000"/>
      <name val="Arial"/>
      <family val="2"/>
      <scheme val="minor"/>
    </font>
    <font>
      <b/>
      <sz val="24"/>
      <color rgb="FF000000"/>
      <name val="Arial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3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2" fillId="0" borderId="0" xfId="0" applyNumberFormat="1" applyFont="1"/>
    <xf numFmtId="14" fontId="2" fillId="0" borderId="0" xfId="0" applyNumberFormat="1" applyFont="1"/>
    <xf numFmtId="0" fontId="2" fillId="0" borderId="0" xfId="0" applyFont="1"/>
    <xf numFmtId="4" fontId="2" fillId="0" borderId="0" xfId="0" applyNumberFormat="1" applyFont="1"/>
    <xf numFmtId="0" fontId="1" fillId="4" borderId="0" xfId="0" applyFont="1" applyFill="1"/>
    <xf numFmtId="0" fontId="2" fillId="3" borderId="0" xfId="0" applyFont="1" applyFill="1"/>
    <xf numFmtId="9" fontId="2" fillId="0" borderId="0" xfId="0" applyNumberFormat="1" applyFont="1"/>
    <xf numFmtId="0" fontId="2" fillId="0" borderId="0" xfId="0" applyFont="1" applyAlignment="1">
      <alignment wrapText="1"/>
    </xf>
    <xf numFmtId="0" fontId="2" fillId="2" borderId="0" xfId="0" applyFont="1" applyFill="1"/>
    <xf numFmtId="0" fontId="2" fillId="5" borderId="0" xfId="0" applyFont="1" applyFill="1"/>
    <xf numFmtId="0" fontId="2" fillId="6" borderId="0" xfId="0" applyFont="1" applyFill="1"/>
    <xf numFmtId="0" fontId="4" fillId="7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4" fillId="7" borderId="0" xfId="0" applyFont="1" applyFill="1" applyAlignment="1">
      <alignment horizontal="center" vertical="top"/>
    </xf>
    <xf numFmtId="0" fontId="5" fillId="7" borderId="0" xfId="0" applyFont="1" applyFill="1" applyAlignment="1">
      <alignment horizontal="center" vertical="center"/>
    </xf>
    <xf numFmtId="170" fontId="5" fillId="7" borderId="0" xfId="0" applyNumberFormat="1" applyFont="1" applyFill="1" applyAlignment="1">
      <alignment horizontal="center" vertical="center"/>
    </xf>
    <xf numFmtId="170" fontId="5" fillId="7" borderId="0" xfId="1" applyNumberFormat="1" applyFont="1" applyFill="1" applyAlignment="1">
      <alignment horizontal="center" vertical="center"/>
    </xf>
    <xf numFmtId="0" fontId="6" fillId="2" borderId="0" xfId="0" applyFont="1" applyFill="1"/>
    <xf numFmtId="0" fontId="7" fillId="3" borderId="0" xfId="0" applyFont="1" applyFill="1" applyAlignment="1">
      <alignment horizontal="left"/>
    </xf>
    <xf numFmtId="0" fontId="7" fillId="2" borderId="0" xfId="0" applyFont="1" applyFill="1"/>
    <xf numFmtId="0" fontId="7" fillId="3" borderId="0" xfId="0" applyFont="1" applyFill="1"/>
    <xf numFmtId="0" fontId="0" fillId="8" borderId="0" xfId="0" applyFill="1"/>
    <xf numFmtId="0" fontId="0" fillId="9" borderId="0" xfId="0" applyFill="1"/>
    <xf numFmtId="14" fontId="0" fillId="0" borderId="0" xfId="0" applyNumberFormat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[Exercício SplitC-Talles(Finalizada).xlsx]Dashboard!Tabela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Comissão por Vendedor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Dashboard!$B$12:$B$20</c:f>
              <c:strCache>
                <c:ptCount val="8"/>
                <c:pt idx="0">
                  <c:v>Vendedor 1</c:v>
                </c:pt>
                <c:pt idx="1">
                  <c:v>Vendedor 2</c:v>
                </c:pt>
                <c:pt idx="2">
                  <c:v>Vendedor 3</c:v>
                </c:pt>
                <c:pt idx="3">
                  <c:v>Vendedor 4</c:v>
                </c:pt>
                <c:pt idx="4">
                  <c:v>Vendedor 5</c:v>
                </c:pt>
                <c:pt idx="5">
                  <c:v>Vendedor 6</c:v>
                </c:pt>
                <c:pt idx="6">
                  <c:v>Vendedor 7</c:v>
                </c:pt>
                <c:pt idx="7">
                  <c:v>Vendedor 8</c:v>
                </c:pt>
              </c:strCache>
            </c:strRef>
          </c:cat>
          <c:val>
            <c:numRef>
              <c:f>Dashboard!$C$12:$C$20</c:f>
              <c:numCache>
                <c:formatCode>[$R$ -416]#,##0.00</c:formatCode>
                <c:ptCount val="8"/>
                <c:pt idx="0">
                  <c:v>73017.2</c:v>
                </c:pt>
                <c:pt idx="1">
                  <c:v>58981.69999999999</c:v>
                </c:pt>
                <c:pt idx="2">
                  <c:v>62403.69999999999</c:v>
                </c:pt>
                <c:pt idx="3">
                  <c:v>68478</c:v>
                </c:pt>
                <c:pt idx="4">
                  <c:v>72464.7</c:v>
                </c:pt>
                <c:pt idx="5">
                  <c:v>50024.299999999996</c:v>
                </c:pt>
                <c:pt idx="6">
                  <c:v>74508.800000000003</c:v>
                </c:pt>
                <c:pt idx="7">
                  <c:v>54235.199999999997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7-4D25-AA56-5A0FA5CE3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376784"/>
        <c:axId val="492378704"/>
      </c:barChart>
      <c:catAx>
        <c:axId val="49237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2378704"/>
        <c:crosses val="autoZero"/>
        <c:auto val="1"/>
        <c:lblAlgn val="ctr"/>
        <c:lblOffset val="100"/>
        <c:noMultiLvlLbl val="0"/>
      </c:catAx>
      <c:valAx>
        <c:axId val="49237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 -416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237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[Exercício SplitC-Talles(Finalizada).xlsx]Dashboard!Tabela dinâmica2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Faturamento por Categoria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Dashboard!$L$11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Dashboard!$K$12:$K$14</c:f>
              <c:strCache>
                <c:ptCount val="2"/>
                <c:pt idx="0">
                  <c:v>Fixa</c:v>
                </c:pt>
                <c:pt idx="1">
                  <c:v>Móvel</c:v>
                </c:pt>
              </c:strCache>
            </c:strRef>
          </c:cat>
          <c:val>
            <c:numRef>
              <c:f>Dashboard!$L$12:$L$14</c:f>
              <c:numCache>
                <c:formatCode>[$R$ -416]#,##0.00</c:formatCode>
                <c:ptCount val="2"/>
                <c:pt idx="0">
                  <c:v>1696595</c:v>
                </c:pt>
                <c:pt idx="1">
                  <c:v>1623601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4-43B5-AED5-C47263867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020671"/>
        <c:axId val="496018751"/>
      </c:barChart>
      <c:catAx>
        <c:axId val="49602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6018751"/>
        <c:crosses val="autoZero"/>
        <c:auto val="1"/>
        <c:lblAlgn val="ctr"/>
        <c:lblOffset val="100"/>
        <c:noMultiLvlLbl val="0"/>
      </c:catAx>
      <c:valAx>
        <c:axId val="49601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 -416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602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[Exercício SplitC-Talles(Finalizada).xlsx]Dashboard!Tabela dinâmica3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Vendas por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Dashboard!$B$32:$B$35</c:f>
              <c:strCache>
                <c:ptCount val="3"/>
                <c:pt idx="0">
                  <c:v>Time 1</c:v>
                </c:pt>
                <c:pt idx="1">
                  <c:v>Time 2</c:v>
                </c:pt>
                <c:pt idx="2">
                  <c:v>Time 3</c:v>
                </c:pt>
              </c:strCache>
            </c:strRef>
          </c:cat>
          <c:val>
            <c:numRef>
              <c:f>Dashboard!$C$32:$C$35</c:f>
              <c:numCache>
                <c:formatCode>[$R$ -416]#,##0.00</c:formatCode>
                <c:ptCount val="3"/>
                <c:pt idx="0">
                  <c:v>1276312</c:v>
                </c:pt>
                <c:pt idx="1">
                  <c:v>1209649</c:v>
                </c:pt>
                <c:pt idx="2">
                  <c:v>834235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7-4A67-9FBC-51A4D5F9F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911424"/>
        <c:axId val="488910944"/>
      </c:barChart>
      <c:catAx>
        <c:axId val="48891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8910944"/>
        <c:crosses val="autoZero"/>
        <c:auto val="1"/>
        <c:lblAlgn val="ctr"/>
        <c:lblOffset val="100"/>
        <c:noMultiLvlLbl val="0"/>
      </c:catAx>
      <c:valAx>
        <c:axId val="48891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 -416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891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[Exercício SplitC-Talles(Finalizada).xlsx]Dashboard!Tabela dinâmica5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Faturamento por Mês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Dashboard!$L$31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Dashboard!$K$32:$K$44</c:f>
              <c:strCache>
                <c:ptCount val="12"/>
                <c:pt idx="0">
                  <c:v>15/01/1900</c:v>
                </c:pt>
                <c:pt idx="1">
                  <c:v>01/02/1900</c:v>
                </c:pt>
                <c:pt idx="2">
                  <c:v>15/03/2022</c:v>
                </c:pt>
                <c:pt idx="3">
                  <c:v>01/04/2022</c:v>
                </c:pt>
                <c:pt idx="4">
                  <c:v>15/04/2022</c:v>
                </c:pt>
                <c:pt idx="5">
                  <c:v>01/05/2022</c:v>
                </c:pt>
                <c:pt idx="6">
                  <c:v>15/05/2022</c:v>
                </c:pt>
                <c:pt idx="7">
                  <c:v>01/06/2022</c:v>
                </c:pt>
                <c:pt idx="8">
                  <c:v>15/06/2022</c:v>
                </c:pt>
                <c:pt idx="9">
                  <c:v>01/07/2022</c:v>
                </c:pt>
                <c:pt idx="10">
                  <c:v>15/07/2022</c:v>
                </c:pt>
                <c:pt idx="11">
                  <c:v>01/08/2022</c:v>
                </c:pt>
              </c:strCache>
            </c:strRef>
          </c:cat>
          <c:val>
            <c:numRef>
              <c:f>Dashboard!$L$32:$L$44</c:f>
              <c:numCache>
                <c:formatCode>[$R$ -416]#,##0.00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67623.699999999983</c:v>
                </c:pt>
                <c:pt idx="3">
                  <c:v>81866.400000000038</c:v>
                </c:pt>
                <c:pt idx="4">
                  <c:v>45771.4</c:v>
                </c:pt>
                <c:pt idx="5">
                  <c:v>72089.8</c:v>
                </c:pt>
                <c:pt idx="6">
                  <c:v>41211.799999999996</c:v>
                </c:pt>
                <c:pt idx="7">
                  <c:v>88914.599999999962</c:v>
                </c:pt>
                <c:pt idx="8">
                  <c:v>37830.9</c:v>
                </c:pt>
                <c:pt idx="9">
                  <c:v>74901.200000000026</c:v>
                </c:pt>
                <c:pt idx="10">
                  <c:v>1964.8000000000002</c:v>
                </c:pt>
                <c:pt idx="11">
                  <c:v>1939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6-4EEE-BF6B-720E0E239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535967"/>
        <c:axId val="668536927"/>
      </c:barChart>
      <c:catAx>
        <c:axId val="66853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536927"/>
        <c:crosses val="autoZero"/>
        <c:auto val="1"/>
        <c:lblAlgn val="ctr"/>
        <c:lblOffset val="100"/>
        <c:noMultiLvlLbl val="0"/>
      </c:catAx>
      <c:valAx>
        <c:axId val="66853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 -416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53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11206</xdr:colOff>
      <xdr:row>9</xdr:row>
      <xdr:rowOff>198344</xdr:rowOff>
    </xdr:from>
    <xdr:to>
      <xdr:col>9</xdr:col>
      <xdr:colOff>11206</xdr:colOff>
      <xdr:row>27</xdr:row>
      <xdr:rowOff>22411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4596C3-9004-6720-662F-D366D7150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22412</xdr:colOff>
      <xdr:row>9</xdr:row>
      <xdr:rowOff>180362</xdr:rowOff>
    </xdr:from>
    <xdr:to>
      <xdr:col>17</xdr:col>
      <xdr:colOff>829236</xdr:colOff>
      <xdr:row>26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B9E980-B8FE-7DAF-90AC-96FFE9812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22411</xdr:colOff>
      <xdr:row>30</xdr:row>
      <xdr:rowOff>0</xdr:rowOff>
    </xdr:from>
    <xdr:to>
      <xdr:col>8</xdr:col>
      <xdr:colOff>829234</xdr:colOff>
      <xdr:row>45</xdr:row>
      <xdr:rowOff>201705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3AE72E6-1775-C04C-8C20-AE73B68CF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9526</xdr:colOff>
      <xdr:row>30</xdr:row>
      <xdr:rowOff>0</xdr:rowOff>
    </xdr:from>
    <xdr:to>
      <xdr:col>17</xdr:col>
      <xdr:colOff>828675</xdr:colOff>
      <xdr:row>46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9AD88BD-AD2F-4463-0EE3-E48883328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lles Santana" refreshedDate="46179.434573495368" createdVersion="8" refreshedVersion="8" minRefreshableVersion="3" recordCount="601" xr:uid="{A93B7918-451C-4D90-832B-49493C8DAD02}">
  <cacheSource type="worksheet">
    <worksheetSource ref="A1:P602" sheet="Base de vendas"/>
  </cacheSource>
  <cacheFields count="22">
    <cacheField name="Cliente" numFmtId="0">
      <sharedItems/>
    </cacheField>
    <cacheField name="Vendedor" numFmtId="0">
      <sharedItems count="8">
        <s v="Vendedor 7"/>
        <s v="Vendedor 1"/>
        <s v="Vendedor 6"/>
        <s v="Vendedor 5"/>
        <s v="Vendedor 4"/>
        <s v="Vendedor 8"/>
        <s v="Vendedor 2"/>
        <s v="Vendedor 3"/>
      </sharedItems>
    </cacheField>
    <cacheField name="Time de Vendedores" numFmtId="0">
      <sharedItems count="3">
        <s v="Time 3"/>
        <s v="Time 1"/>
        <s v="Time 2"/>
      </sharedItems>
    </cacheField>
    <cacheField name="Categoria" numFmtId="0">
      <sharedItems count="2">
        <s v="Fixa"/>
        <s v="Móvel"/>
      </sharedItems>
    </cacheField>
    <cacheField name="Detalhe" numFmtId="0">
      <sharedItems/>
    </cacheField>
    <cacheField name="Número de série da venda" numFmtId="0">
      <sharedItems containsMixedTypes="1" containsNumber="1" containsInteger="1" minValue="10347849894" maxValue="99831403728"/>
    </cacheField>
    <cacheField name="Número de série da venda (Limpo)" numFmtId="0">
      <sharedItems/>
    </cacheField>
    <cacheField name="Valor de venda" numFmtId="164">
      <sharedItems containsSemiMixedTypes="0" containsString="0" containsNumber="1" containsInteger="1" minValue="1007" maxValue="9999"/>
    </cacheField>
    <cacheField name="Valor anterior" numFmtId="164">
      <sharedItems containsSemiMixedTypes="0" containsString="0" containsNumber="1" containsInteger="1" minValue="0" maxValue="9973"/>
    </cacheField>
    <cacheField name="Valor Comição Base" numFmtId="164">
      <sharedItems containsSemiMixedTypes="0" containsString="0" containsNumber="1" containsInteger="1" minValue="0" maxValue="9988"/>
    </cacheField>
    <cacheField name="Valor Comissão Real" numFmtId="164">
      <sharedItems containsSemiMixedTypes="0" containsString="0" containsNumber="1" minValue="0" maxValue="2958.2999999999997"/>
    </cacheField>
    <cacheField name="Valor Comissão Backoffice " numFmtId="164">
      <sharedItems containsSemiMixedTypes="0" containsString="0" containsNumber="1" containsInteger="1" minValue="0" maxValue="1"/>
    </cacheField>
    <cacheField name="Valor Faturamento" numFmtId="164">
      <sharedItems containsSemiMixedTypes="0" containsString="0" containsNumber="1" containsInteger="1" minValue="0" maxValue="9999"/>
    </cacheField>
    <cacheField name="Data Faturamento" numFmtId="14">
      <sharedItems containsSemiMixedTypes="0" containsNonDate="0" containsDate="1" containsString="0" minDate="1899-12-30T00:00:00" maxDate="2022-07-02T00:00:00" count="122">
        <d v="2022-05-29T00:00:00"/>
        <d v="2022-04-04T00:00:00"/>
        <d v="2022-06-16T00:00:00"/>
        <d v="2022-06-11T00:00:00"/>
        <d v="2022-06-18T00:00:00"/>
        <d v="2022-06-12T00:00:00"/>
        <d v="2022-03-21T00:00:00"/>
        <d v="2022-06-26T00:00:00"/>
        <d v="2022-03-28T00:00:00"/>
        <d v="2022-06-24T00:00:00"/>
        <d v="1899-12-30T00:00:00"/>
        <d v="2022-06-08T00:00:00"/>
        <d v="2022-06-21T00:00:00"/>
        <d v="2022-03-15T00:00:00"/>
        <d v="2022-06-14T00:00:00"/>
        <d v="2022-04-09T00:00:00"/>
        <d v="2022-03-10T00:00:00"/>
        <d v="2022-06-27T00:00:00"/>
        <d v="2022-03-22T00:00:00"/>
        <d v="2022-04-24T00:00:00"/>
        <d v="2022-05-16T00:00:00"/>
        <d v="2022-03-18T00:00:00"/>
        <d v="2022-04-14T00:00:00"/>
        <d v="2022-04-29T00:00:00"/>
        <d v="2022-05-09T00:00:00"/>
        <d v="2022-05-05T00:00:00"/>
        <d v="2022-05-23T00:00:00"/>
        <d v="2022-04-05T00:00:00"/>
        <d v="2022-05-27T00:00:00"/>
        <d v="2022-05-31T00:00:00"/>
        <d v="2022-05-30T00:00:00"/>
        <d v="2022-03-24T00:00:00"/>
        <d v="2022-06-07T00:00:00"/>
        <d v="2022-06-28T00:00:00"/>
        <d v="2022-04-23T00:00:00"/>
        <d v="2022-03-26T00:00:00"/>
        <d v="2022-04-22T00:00:00"/>
        <d v="2022-05-01T00:00:00"/>
        <d v="2022-03-16T00:00:00"/>
        <d v="2022-06-09T00:00:00"/>
        <d v="2022-03-09T00:00:00"/>
        <d v="2022-04-13T00:00:00"/>
        <d v="2022-03-07T00:00:00"/>
        <d v="2022-05-11T00:00:00"/>
        <d v="2022-04-01T00:00:00"/>
        <d v="2022-04-15T00:00:00"/>
        <d v="2022-03-11T00:00:00"/>
        <d v="2022-05-21T00:00:00"/>
        <d v="2022-04-20T00:00:00"/>
        <d v="2022-05-04T00:00:00"/>
        <d v="2022-06-02T00:00:00"/>
        <d v="2022-04-12T00:00:00"/>
        <d v="2022-05-18T00:00:00"/>
        <d v="2022-05-08T00:00:00"/>
        <d v="2022-03-06T00:00:00"/>
        <d v="2022-06-23T00:00:00"/>
        <d v="2022-03-27T00:00:00"/>
        <d v="2022-04-19T00:00:00"/>
        <d v="2022-06-22T00:00:00"/>
        <d v="2022-04-25T00:00:00"/>
        <d v="2022-05-13T00:00:00"/>
        <d v="2022-06-06T00:00:00"/>
        <d v="2022-03-20T00:00:00"/>
        <d v="2022-03-04T00:00:00"/>
        <d v="2022-06-19T00:00:00"/>
        <d v="2022-03-02T00:00:00"/>
        <d v="2022-05-14T00:00:00"/>
        <d v="2022-04-10T00:00:00"/>
        <d v="2022-06-03T00:00:00"/>
        <d v="2022-04-21T00:00:00"/>
        <d v="2022-03-30T00:00:00"/>
        <d v="2022-05-03T00:00:00"/>
        <d v="2022-03-29T00:00:00"/>
        <d v="2022-06-30T00:00:00"/>
        <d v="2022-04-18T00:00:00"/>
        <d v="2022-05-17T00:00:00"/>
        <d v="2022-04-16T00:00:00"/>
        <d v="2022-06-01T00:00:00"/>
        <d v="2022-04-08T00:00:00"/>
        <d v="2022-03-13T00:00:00"/>
        <d v="2022-06-10T00:00:00"/>
        <d v="2022-05-10T00:00:00"/>
        <d v="2022-04-30T00:00:00"/>
        <d v="2022-05-15T00:00:00"/>
        <d v="2022-03-25T00:00:00"/>
        <d v="2022-04-27T00:00:00"/>
        <d v="2022-06-20T00:00:00"/>
        <d v="2022-06-29T00:00:00"/>
        <d v="2022-03-31T00:00:00"/>
        <d v="2022-03-01T00:00:00"/>
        <d v="2022-04-02T00:00:00"/>
        <d v="2022-06-25T00:00:00"/>
        <d v="2022-04-28T00:00:00"/>
        <d v="2022-05-25T00:00:00"/>
        <d v="2022-03-05T00:00:00"/>
        <d v="2022-04-26T00:00:00"/>
        <d v="2022-04-03T00:00:00"/>
        <d v="2022-05-07T00:00:00"/>
        <d v="2022-03-12T00:00:00"/>
        <d v="2022-05-06T00:00:00"/>
        <d v="2022-04-11T00:00:00"/>
        <d v="2022-05-19T00:00:00"/>
        <d v="2022-05-22T00:00:00"/>
        <d v="2022-04-17T00:00:00"/>
        <d v="2022-03-08T00:00:00"/>
        <d v="2022-06-17T00:00:00"/>
        <d v="2022-03-03T00:00:00"/>
        <d v="2022-03-19T00:00:00"/>
        <d v="2022-05-26T00:00:00"/>
        <d v="2022-06-05T00:00:00"/>
        <d v="2022-05-28T00:00:00"/>
        <d v="2022-05-12T00:00:00"/>
        <d v="2022-04-06T00:00:00"/>
        <d v="2022-05-24T00:00:00"/>
        <d v="2022-03-14T00:00:00"/>
        <d v="2022-04-07T00:00:00"/>
        <d v="2022-05-20T00:00:00"/>
        <d v="2022-03-23T00:00:00"/>
        <d v="2022-03-17T00:00:00"/>
        <d v="2022-06-04T00:00:00"/>
        <d v="2022-05-02T00:00:00"/>
        <d v="2022-07-01T00:00:00"/>
      </sharedItems>
      <fieldGroup par="18"/>
    </cacheField>
    <cacheField name="Data Pagamento Vendedores" numFmtId="14">
      <sharedItems containsSemiMixedTypes="0" containsNonDate="0" containsDate="1" containsString="0" minDate="1900-01-14T00:00:00" maxDate="2022-08-02T00:00:00" count="12">
        <d v="2022-06-01T00:00:00"/>
        <d v="2022-04-15T00:00:00"/>
        <d v="2022-07-01T00:00:00"/>
        <d v="2022-03-15T00:00:00"/>
        <d v="1900-01-14T00:00:00"/>
        <d v="1900-01-31T00:00:00"/>
        <d v="2022-04-01T00:00:00"/>
        <d v="2022-06-15T00:00:00"/>
        <d v="2022-05-01T00:00:00"/>
        <d v="2022-05-15T00:00:00"/>
        <d v="2022-08-01T00:00:00"/>
        <d v="2022-07-15T00:00:00"/>
      </sharedItems>
      <fieldGroup par="21"/>
    </cacheField>
    <cacheField name="Data Pagamento Backoffice " numFmtId="0">
      <sharedItems containsDate="1" containsMixedTypes="1" minDate="2022-04-01T00:00:00" maxDate="2022-08-02T00:00:00"/>
    </cacheField>
    <cacheField name="Meses (Data Faturamento)" numFmtId="0" databaseField="0">
      <fieldGroup base="13">
        <rangePr groupBy="months" startDate="1899-12-30T00:00:00" endDate="2022-07-02T00:00:00"/>
        <groupItems count="14">
          <s v="&lt;00/01/1900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7/2022"/>
        </groupItems>
      </fieldGroup>
    </cacheField>
    <cacheField name="Trimestres (Data Faturamento)" numFmtId="0" databaseField="0">
      <fieldGroup base="13">
        <rangePr groupBy="quarters" startDate="1899-12-30T00:00:00" endDate="2022-07-02T00:00:00"/>
        <groupItems count="6">
          <s v="&lt;00/01/1900"/>
          <s v="Trim1"/>
          <s v="Trim2"/>
          <s v="Trim3"/>
          <s v="Trim4"/>
          <s v="&gt;02/07/2022"/>
        </groupItems>
      </fieldGroup>
    </cacheField>
    <cacheField name="Anos (Data Faturamento)" numFmtId="0" databaseField="0">
      <fieldGroup base="13">
        <rangePr groupBy="years" startDate="1899-12-30T00:00:00" endDate="2022-07-02T00:00:00"/>
        <groupItems count="125">
          <s v="&lt;00/01/1900"/>
          <s v="1900"/>
          <s v="1901"/>
          <s v="1902"/>
          <s v="1903"/>
          <s v="1904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&gt;02/07/2022"/>
        </groupItems>
      </fieldGroup>
    </cacheField>
    <cacheField name="Meses (Data Pagamento Vendedores)" numFmtId="0" databaseField="0">
      <fieldGroup base="14">
        <rangePr groupBy="months" startDate="1900-01-14T00:00:00" endDate="2022-08-02T00:00:00"/>
        <groupItems count="14">
          <s v="&lt;15/01/1900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8/2022"/>
        </groupItems>
      </fieldGroup>
    </cacheField>
    <cacheField name="Trimestres (Data Pagamento Vendedores)" numFmtId="0" databaseField="0">
      <fieldGroup base="14">
        <rangePr groupBy="quarters" startDate="1900-01-14T00:00:00" endDate="2022-08-02T00:00:00"/>
        <groupItems count="6">
          <s v="&lt;15/01/1900"/>
          <s v="Trim1"/>
          <s v="Trim2"/>
          <s v="Trim3"/>
          <s v="Trim4"/>
          <s v="&gt;02/08/2022"/>
        </groupItems>
      </fieldGroup>
    </cacheField>
    <cacheField name="Anos (Data Pagamento Vendedores)" numFmtId="0" databaseField="0">
      <fieldGroup base="14">
        <rangePr groupBy="years" startDate="1900-01-14T00:00:00" endDate="2022-08-02T00:00:00"/>
        <groupItems count="125">
          <s v="&lt;15/01/1900"/>
          <s v="1900"/>
          <s v="1901"/>
          <s v="1902"/>
          <s v="1903"/>
          <s v="1904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&gt;02/08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s v="Cliente 480"/>
    <x v="0"/>
    <x v="0"/>
    <x v="0"/>
    <s v="Novo"/>
    <n v="10347849894"/>
    <s v="10347849894"/>
    <n v="6830"/>
    <n v="0"/>
    <n v="6830"/>
    <n v="1366"/>
    <n v="1"/>
    <n v="6830"/>
    <x v="0"/>
    <x v="0"/>
    <d v="2022-06-01T00:00:00"/>
  </r>
  <r>
    <s v="Cliente 293"/>
    <x v="1"/>
    <x v="1"/>
    <x v="1"/>
    <s v="Novo"/>
    <n v="10558070640"/>
    <s v="10558070640"/>
    <n v="1577"/>
    <n v="0"/>
    <n v="1577"/>
    <n v="473.09999999999997"/>
    <n v="1"/>
    <n v="1577"/>
    <x v="1"/>
    <x v="1"/>
    <d v="2022-05-01T00:00:00"/>
  </r>
  <r>
    <s v="Cliente 60"/>
    <x v="2"/>
    <x v="2"/>
    <x v="1"/>
    <s v="Renovação"/>
    <n v="11470034718"/>
    <s v="11470034718"/>
    <n v="8926"/>
    <n v="8058"/>
    <n v="868"/>
    <n v="260.39999999999998"/>
    <n v="1"/>
    <n v="8926"/>
    <x v="2"/>
    <x v="2"/>
    <d v="2022-07-01T00:00:00"/>
  </r>
  <r>
    <s v="Cliente 235"/>
    <x v="3"/>
    <x v="2"/>
    <x v="1"/>
    <s v="Novo"/>
    <n v="12019485890"/>
    <s v="12019485890"/>
    <n v="2799"/>
    <n v="0"/>
    <n v="2799"/>
    <n v="839.69999999999993"/>
    <n v="1"/>
    <n v="2799"/>
    <x v="3"/>
    <x v="2"/>
    <d v="2022-07-01T00:00:00"/>
  </r>
  <r>
    <s v="Cliente 39"/>
    <x v="4"/>
    <x v="2"/>
    <x v="1"/>
    <s v="Renovação"/>
    <n v="12766025437"/>
    <s v="12766025437"/>
    <n v="8941"/>
    <n v="4282"/>
    <n v="4659"/>
    <n v="1397.7"/>
    <n v="1"/>
    <n v="8941"/>
    <x v="4"/>
    <x v="2"/>
    <d v="2022-07-01T00:00:00"/>
  </r>
  <r>
    <s v="Cliente 459"/>
    <x v="5"/>
    <x v="0"/>
    <x v="0"/>
    <s v="Novo"/>
    <n v="13138163138"/>
    <s v="13138163138"/>
    <n v="9601"/>
    <n v="0"/>
    <n v="9601"/>
    <n v="1920.2"/>
    <n v="1"/>
    <n v="9601"/>
    <x v="5"/>
    <x v="2"/>
    <d v="2022-07-01T00:00:00"/>
  </r>
  <r>
    <s v="Cliente 185"/>
    <x v="6"/>
    <x v="1"/>
    <x v="1"/>
    <s v="Novo"/>
    <n v="13486420884"/>
    <s v="13486420884"/>
    <n v="6930"/>
    <n v="0"/>
    <n v="6930"/>
    <n v="2079"/>
    <n v="1"/>
    <n v="6930"/>
    <x v="6"/>
    <x v="3"/>
    <d v="2022-04-01T00:00:00"/>
  </r>
  <r>
    <s v="Cliente 350"/>
    <x v="3"/>
    <x v="2"/>
    <x v="0"/>
    <s v="Renovação"/>
    <n v="14083526808"/>
    <s v="14083526808"/>
    <n v="3049"/>
    <n v="9678"/>
    <n v="0"/>
    <n v="0"/>
    <n v="1"/>
    <n v="3049"/>
    <x v="7"/>
    <x v="2"/>
    <d v="2022-07-01T00:00:00"/>
  </r>
  <r>
    <s v="Cliente 402"/>
    <x v="7"/>
    <x v="1"/>
    <x v="0"/>
    <s v="Renovação"/>
    <n v="14644757600"/>
    <s v="14644757600"/>
    <n v="1363"/>
    <n v="4809"/>
    <n v="0"/>
    <n v="0"/>
    <n v="1"/>
    <n v="1363"/>
    <x v="8"/>
    <x v="3"/>
    <d v="2022-04-01T00:00:00"/>
  </r>
  <r>
    <s v="Cliente 324"/>
    <x v="4"/>
    <x v="2"/>
    <x v="0"/>
    <s v="Renovação"/>
    <n v="15701060351"/>
    <s v="15701060351"/>
    <n v="2543"/>
    <n v="5761"/>
    <n v="0"/>
    <n v="0"/>
    <n v="1"/>
    <n v="2543"/>
    <x v="9"/>
    <x v="2"/>
    <d v="2022-07-01T00:00:00"/>
  </r>
  <r>
    <s v="Cliente 24"/>
    <x v="7"/>
    <x v="1"/>
    <x v="1"/>
    <s v="Renovação"/>
    <n v="15765206124"/>
    <s v="15765206124"/>
    <n v="1254"/>
    <n v="6922"/>
    <n v="0"/>
    <n v="0"/>
    <n v="0"/>
    <n v="0"/>
    <x v="10"/>
    <x v="4"/>
    <b v="0"/>
  </r>
  <r>
    <s v="Cliente 48"/>
    <x v="2"/>
    <x v="2"/>
    <x v="1"/>
    <s v="Renovação"/>
    <n v="16241068274"/>
    <s v="16241068274"/>
    <n v="8232"/>
    <n v="1456"/>
    <n v="6776"/>
    <n v="0"/>
    <n v="0"/>
    <n v="0"/>
    <x v="10"/>
    <x v="5"/>
    <b v="0"/>
  </r>
  <r>
    <s v="Cliente 452"/>
    <x v="3"/>
    <x v="2"/>
    <x v="0"/>
    <s v="Novo"/>
    <n v="16624663764"/>
    <s v="16624663764"/>
    <n v="3642"/>
    <n v="0"/>
    <n v="3642"/>
    <n v="728.40000000000009"/>
    <n v="1"/>
    <n v="3642"/>
    <x v="11"/>
    <x v="2"/>
    <d v="2022-07-01T00:00:00"/>
  </r>
  <r>
    <s v="Cliente 211"/>
    <x v="2"/>
    <x v="2"/>
    <x v="1"/>
    <s v="Novo"/>
    <n v="16708150877"/>
    <s v="16708150877"/>
    <n v="1171"/>
    <n v="0"/>
    <n v="1171"/>
    <n v="351.3"/>
    <n v="1"/>
    <n v="1171"/>
    <x v="5"/>
    <x v="2"/>
    <d v="2022-07-01T00:00:00"/>
  </r>
  <r>
    <s v="Cliente 308"/>
    <x v="3"/>
    <x v="2"/>
    <x v="0"/>
    <s v="Renovação"/>
    <n v="16749652338"/>
    <s v="16749652338"/>
    <n v="5788"/>
    <n v="4281"/>
    <n v="1507"/>
    <n v="301.40000000000003"/>
    <n v="1"/>
    <n v="5788"/>
    <x v="12"/>
    <x v="2"/>
    <d v="2022-07-01T00:00:00"/>
  </r>
  <r>
    <s v="Cliente 516"/>
    <x v="4"/>
    <x v="2"/>
    <x v="0"/>
    <s v="Novo"/>
    <n v="16803870511"/>
    <s v="16803870511"/>
    <n v="7336"/>
    <n v="0"/>
    <n v="7336"/>
    <n v="1467.2"/>
    <n v="1"/>
    <n v="7336"/>
    <x v="13"/>
    <x v="6"/>
    <d v="2022-04-01T00:00:00"/>
  </r>
  <r>
    <s v="Cliente 521"/>
    <x v="7"/>
    <x v="1"/>
    <x v="0"/>
    <s v="Novo"/>
    <n v="17056663697"/>
    <s v="17056663697"/>
    <n v="6544"/>
    <n v="0"/>
    <n v="6544"/>
    <n v="1308.8000000000002"/>
    <n v="1"/>
    <n v="6544"/>
    <x v="14"/>
    <x v="7"/>
    <d v="2022-07-01T00:00:00"/>
  </r>
  <r>
    <s v="Cliente 499"/>
    <x v="2"/>
    <x v="2"/>
    <x v="0"/>
    <s v="Novo"/>
    <n v="17730108966"/>
    <s v="17730108966"/>
    <n v="7191"/>
    <n v="0"/>
    <n v="7191"/>
    <n v="1438.2"/>
    <n v="1"/>
    <n v="7191"/>
    <x v="15"/>
    <x v="8"/>
    <d v="2022-05-01T00:00:00"/>
  </r>
  <r>
    <s v="Cliente 208"/>
    <x v="4"/>
    <x v="2"/>
    <x v="1"/>
    <s v="Novo"/>
    <n v="17980400608"/>
    <s v="17980400608"/>
    <n v="7690"/>
    <n v="0"/>
    <n v="7690"/>
    <n v="2307"/>
    <n v="1"/>
    <n v="7690"/>
    <x v="16"/>
    <x v="6"/>
    <d v="2022-04-01T00:00:00"/>
  </r>
  <r>
    <s v="Cliente 495"/>
    <x v="0"/>
    <x v="0"/>
    <x v="0"/>
    <s v="Novo"/>
    <n v="18068604357"/>
    <s v="18068604357"/>
    <n v="5428"/>
    <n v="0"/>
    <n v="5428"/>
    <n v="1085.6000000000001"/>
    <n v="1"/>
    <n v="5428"/>
    <x v="17"/>
    <x v="2"/>
    <d v="2022-07-01T00:00:00"/>
  </r>
  <r>
    <s v="Cliente 13"/>
    <x v="5"/>
    <x v="0"/>
    <x v="1"/>
    <s v="Renovação"/>
    <n v="18175071887"/>
    <s v="18175071887"/>
    <n v="8410"/>
    <n v="6035"/>
    <n v="2375"/>
    <n v="712.5"/>
    <n v="1"/>
    <n v="8410"/>
    <x v="18"/>
    <x v="6"/>
    <d v="2022-04-01T00:00:00"/>
  </r>
  <r>
    <s v="Cliente 243"/>
    <x v="3"/>
    <x v="2"/>
    <x v="1"/>
    <s v="Novo"/>
    <n v="18268979430"/>
    <s v="18268979430"/>
    <n v="8616"/>
    <n v="0"/>
    <n v="8616"/>
    <n v="2584.7999999999997"/>
    <n v="1"/>
    <n v="8616"/>
    <x v="19"/>
    <x v="8"/>
    <d v="2022-05-01T00:00:00"/>
  </r>
  <r>
    <s v="Cliente 163"/>
    <x v="4"/>
    <x v="2"/>
    <x v="1"/>
    <s v="Novo"/>
    <n v="18329907615"/>
    <s v="18329907615"/>
    <n v="3544"/>
    <n v="0"/>
    <n v="3544"/>
    <n v="1063.2"/>
    <n v="1"/>
    <n v="3544"/>
    <x v="20"/>
    <x v="0"/>
    <d v="2022-06-01T00:00:00"/>
  </r>
  <r>
    <s v="Cliente 264"/>
    <x v="1"/>
    <x v="1"/>
    <x v="1"/>
    <s v="Novo"/>
    <n v="18475395928"/>
    <s v="18475395928"/>
    <n v="8687"/>
    <n v="0"/>
    <n v="8687"/>
    <n v="2606.1"/>
    <n v="1"/>
    <n v="8687"/>
    <x v="21"/>
    <x v="3"/>
    <d v="2022-04-01T00:00:00"/>
  </r>
  <r>
    <s v="Cliente 546"/>
    <x v="4"/>
    <x v="2"/>
    <x v="0"/>
    <s v="Novo"/>
    <n v="19586493079"/>
    <s v="19586493079"/>
    <n v="4384"/>
    <n v="0"/>
    <n v="4384"/>
    <n v="876.80000000000007"/>
    <n v="1"/>
    <n v="4384"/>
    <x v="22"/>
    <x v="8"/>
    <d v="2022-05-01T00:00:00"/>
  </r>
  <r>
    <s v="Cliente 92"/>
    <x v="0"/>
    <x v="0"/>
    <x v="1"/>
    <s v="Renovação"/>
    <n v="20244484886"/>
    <s v="20244484886"/>
    <n v="6177"/>
    <n v="8593"/>
    <n v="0"/>
    <n v="0"/>
    <n v="0"/>
    <n v="0"/>
    <x v="10"/>
    <x v="5"/>
    <b v="0"/>
  </r>
  <r>
    <s v="Cliente 14"/>
    <x v="5"/>
    <x v="0"/>
    <x v="1"/>
    <s v="Renovação"/>
    <n v="20503026585"/>
    <s v="20503026585"/>
    <n v="5574"/>
    <n v="9950"/>
    <n v="0"/>
    <n v="0"/>
    <n v="1"/>
    <n v="5574"/>
    <x v="23"/>
    <x v="8"/>
    <d v="2022-05-01T00:00:00"/>
  </r>
  <r>
    <s v="Cliente 141"/>
    <x v="4"/>
    <x v="2"/>
    <x v="1"/>
    <s v="Renovação"/>
    <n v="20524415427"/>
    <s v="20524415427"/>
    <n v="4582"/>
    <n v="5244"/>
    <n v="0"/>
    <n v="0"/>
    <n v="1"/>
    <n v="4582"/>
    <x v="24"/>
    <x v="0"/>
    <d v="2022-06-01T00:00:00"/>
  </r>
  <r>
    <s v="Cliente 1"/>
    <x v="6"/>
    <x v="1"/>
    <x v="1"/>
    <s v="Renovação"/>
    <n v="20723972248"/>
    <s v="20723972248"/>
    <n v="1459"/>
    <n v="6716"/>
    <n v="0"/>
    <n v="0"/>
    <n v="1"/>
    <n v="1459"/>
    <x v="25"/>
    <x v="9"/>
    <d v="2022-06-01T00:00:00"/>
  </r>
  <r>
    <s v="Cliente 126"/>
    <x v="4"/>
    <x v="2"/>
    <x v="1"/>
    <s v="Renovação"/>
    <n v="20917135664"/>
    <s v="20917135664"/>
    <n v="4532"/>
    <n v="9953"/>
    <n v="0"/>
    <n v="0"/>
    <n v="1"/>
    <n v="4532"/>
    <x v="26"/>
    <x v="0"/>
    <d v="2022-06-01T00:00:00"/>
  </r>
  <r>
    <s v="Cliente 135"/>
    <x v="6"/>
    <x v="1"/>
    <x v="1"/>
    <s v="Renovação"/>
    <n v="20964726373"/>
    <s v="20964726373"/>
    <n v="2112"/>
    <n v="4324"/>
    <n v="0"/>
    <n v="0"/>
    <n v="1"/>
    <n v="2112"/>
    <x v="11"/>
    <x v="7"/>
    <d v="2022-07-01T00:00:00"/>
  </r>
  <r>
    <s v="Cliente 83"/>
    <x v="5"/>
    <x v="0"/>
    <x v="1"/>
    <s v="Renovação"/>
    <n v="21381752319"/>
    <s v="21381752319"/>
    <n v="7887"/>
    <n v="5276"/>
    <n v="2611"/>
    <n v="783.3"/>
    <n v="1"/>
    <n v="7887"/>
    <x v="27"/>
    <x v="8"/>
    <d v="2022-05-01T00:00:00"/>
  </r>
  <r>
    <s v="Cliente 280"/>
    <x v="3"/>
    <x v="2"/>
    <x v="1"/>
    <s v="Novo"/>
    <n v="21545344262"/>
    <s v="21545344262"/>
    <n v="5185"/>
    <n v="0"/>
    <n v="5185"/>
    <n v="1555.5"/>
    <n v="1"/>
    <n v="5185"/>
    <x v="28"/>
    <x v="0"/>
    <d v="2022-06-01T00:00:00"/>
  </r>
  <r>
    <s v="Cliente 173"/>
    <x v="5"/>
    <x v="0"/>
    <x v="1"/>
    <s v="Novo"/>
    <n v="21622801375"/>
    <s v="21622801375"/>
    <n v="9744"/>
    <n v="0"/>
    <n v="9744"/>
    <n v="2923.2"/>
    <n v="1"/>
    <n v="9744"/>
    <x v="0"/>
    <x v="0"/>
    <d v="2022-06-01T00:00:00"/>
  </r>
  <r>
    <s v="Cliente 73"/>
    <x v="0"/>
    <x v="0"/>
    <x v="1"/>
    <s v="Renovação"/>
    <n v="21664565023"/>
    <s v="21664565023"/>
    <n v="9708"/>
    <n v="5959"/>
    <n v="3749"/>
    <n v="1124.7"/>
    <n v="1"/>
    <n v="9708"/>
    <x v="29"/>
    <x v="0"/>
    <d v="2022-06-01T00:00:00"/>
  </r>
  <r>
    <s v="Cliente 63"/>
    <x v="3"/>
    <x v="2"/>
    <x v="1"/>
    <s v="Renovação"/>
    <n v="21691467158"/>
    <s v="21691467158"/>
    <n v="3518"/>
    <n v="7021"/>
    <n v="0"/>
    <n v="0"/>
    <n v="1"/>
    <n v="3518"/>
    <x v="30"/>
    <x v="0"/>
    <d v="2022-06-01T00:00:00"/>
  </r>
  <r>
    <s v="Cliente 140"/>
    <x v="7"/>
    <x v="1"/>
    <x v="1"/>
    <s v="Renovação"/>
    <n v="21930887195"/>
    <s v="21930887195"/>
    <n v="9517"/>
    <n v="2229"/>
    <n v="7288"/>
    <n v="2186.4"/>
    <n v="1"/>
    <n v="9517"/>
    <x v="31"/>
    <x v="3"/>
    <d v="2022-04-01T00:00:00"/>
  </r>
  <r>
    <s v="Cliente 220"/>
    <x v="7"/>
    <x v="1"/>
    <x v="1"/>
    <s v="Novo"/>
    <n v="22425896465"/>
    <s v="22425896465"/>
    <n v="4230"/>
    <n v="0"/>
    <n v="4230"/>
    <n v="1269"/>
    <n v="1"/>
    <n v="4230"/>
    <x v="24"/>
    <x v="9"/>
    <d v="2022-06-01T00:00:00"/>
  </r>
  <r>
    <s v="Cliente 511"/>
    <x v="4"/>
    <x v="2"/>
    <x v="0"/>
    <s v="Novo"/>
    <n v="22935910618"/>
    <s v="22935910618"/>
    <n v="4631"/>
    <n v="0"/>
    <n v="4631"/>
    <n v="926.2"/>
    <n v="1"/>
    <n v="4631"/>
    <x v="32"/>
    <x v="2"/>
    <d v="2022-07-01T00:00:00"/>
  </r>
  <r>
    <s v="Cliente 435"/>
    <x v="6"/>
    <x v="1"/>
    <x v="0"/>
    <s v="Renovação"/>
    <n v="23142559648"/>
    <s v="23142559648"/>
    <n v="5292"/>
    <n v="5877"/>
    <n v="0"/>
    <n v="0"/>
    <n v="1"/>
    <n v="5292"/>
    <x v="33"/>
    <x v="7"/>
    <d v="2022-07-01T00:00:00"/>
  </r>
  <r>
    <s v="Cliente 184"/>
    <x v="1"/>
    <x v="1"/>
    <x v="1"/>
    <s v="Novo"/>
    <n v="23315752077"/>
    <s v="23315752077"/>
    <n v="1909"/>
    <n v="0"/>
    <n v="1909"/>
    <n v="572.69999999999993"/>
    <n v="1"/>
    <n v="1909"/>
    <x v="34"/>
    <x v="1"/>
    <d v="2022-05-01T00:00:00"/>
  </r>
  <r>
    <s v="Cliente 253"/>
    <x v="3"/>
    <x v="2"/>
    <x v="1"/>
    <s v="Novo"/>
    <n v="24235070640"/>
    <s v="24235070640"/>
    <n v="6615"/>
    <n v="0"/>
    <n v="6615"/>
    <n v="1984.5"/>
    <n v="1"/>
    <n v="6615"/>
    <x v="35"/>
    <x v="6"/>
    <d v="2022-04-01T00:00:00"/>
  </r>
  <r>
    <s v="Cliente 300"/>
    <x v="3"/>
    <x v="2"/>
    <x v="1"/>
    <s v="Novo"/>
    <n v="24246743998"/>
    <s v="24246743998"/>
    <n v="6438"/>
    <n v="0"/>
    <n v="6438"/>
    <n v="1931.3999999999999"/>
    <n v="1"/>
    <n v="6438"/>
    <x v="18"/>
    <x v="6"/>
    <d v="2022-04-01T00:00:00"/>
  </r>
  <r>
    <s v="Cliente 89"/>
    <x v="0"/>
    <x v="0"/>
    <x v="1"/>
    <s v="Renovação"/>
    <n v="24340522540"/>
    <s v="24340522540"/>
    <n v="3382"/>
    <n v="8128"/>
    <n v="0"/>
    <n v="0"/>
    <n v="1"/>
    <n v="3382"/>
    <x v="36"/>
    <x v="8"/>
    <d v="2022-05-01T00:00:00"/>
  </r>
  <r>
    <s v="Cliente 467"/>
    <x v="5"/>
    <x v="0"/>
    <x v="0"/>
    <s v="Novo"/>
    <n v="24947687311"/>
    <s v="24947687311"/>
    <n v="1976"/>
    <n v="0"/>
    <n v="1976"/>
    <n v="395.20000000000005"/>
    <n v="1"/>
    <n v="1976"/>
    <x v="37"/>
    <x v="0"/>
    <d v="2022-06-01T00:00:00"/>
  </r>
  <r>
    <s v="Cliente 556"/>
    <x v="7"/>
    <x v="1"/>
    <x v="0"/>
    <s v="Novo"/>
    <n v="25054644977"/>
    <s v="25054644977"/>
    <n v="1889"/>
    <n v="0"/>
    <n v="1889"/>
    <n v="377.8"/>
    <n v="1"/>
    <n v="1889"/>
    <x v="38"/>
    <x v="3"/>
    <d v="2022-04-01T00:00:00"/>
  </r>
  <r>
    <s v="Cliente 244"/>
    <x v="6"/>
    <x v="1"/>
    <x v="1"/>
    <s v="Novo"/>
    <n v="26493378700"/>
    <s v="26493378700"/>
    <n v="5037"/>
    <n v="0"/>
    <n v="5037"/>
    <n v="1511.1"/>
    <n v="1"/>
    <n v="5037"/>
    <x v="39"/>
    <x v="7"/>
    <d v="2022-07-01T00:00:00"/>
  </r>
  <r>
    <s v="Cliente 245"/>
    <x v="2"/>
    <x v="2"/>
    <x v="1"/>
    <s v="Novo"/>
    <n v="26691598856"/>
    <s v="26691598856"/>
    <n v="4947"/>
    <n v="0"/>
    <n v="4947"/>
    <n v="1484.1"/>
    <n v="1"/>
    <n v="4947"/>
    <x v="40"/>
    <x v="6"/>
    <d v="2022-04-01T00:00:00"/>
  </r>
  <r>
    <s v="Cliente 583"/>
    <x v="0"/>
    <x v="0"/>
    <x v="0"/>
    <s v="Novo"/>
    <n v="27113670427"/>
    <s v="27113670427"/>
    <n v="3474"/>
    <n v="0"/>
    <n v="3474"/>
    <n v="694.80000000000007"/>
    <n v="1"/>
    <n v="3474"/>
    <x v="39"/>
    <x v="2"/>
    <d v="2022-07-01T00:00:00"/>
  </r>
  <r>
    <s v="Cliente 2"/>
    <x v="1"/>
    <x v="1"/>
    <x v="1"/>
    <s v="Renovação"/>
    <n v="27674450597"/>
    <s v="27674450597"/>
    <n v="5628"/>
    <n v="1847"/>
    <n v="3781"/>
    <n v="1134.3"/>
    <n v="1"/>
    <n v="5628"/>
    <x v="34"/>
    <x v="1"/>
    <d v="2022-05-01T00:00:00"/>
  </r>
  <r>
    <s v="Cliente 271"/>
    <x v="0"/>
    <x v="0"/>
    <x v="1"/>
    <s v="Novo"/>
    <n v="27847516322"/>
    <s v="27847516322"/>
    <n v="1736"/>
    <n v="0"/>
    <n v="1736"/>
    <n v="520.79999999999995"/>
    <n v="1"/>
    <n v="1736"/>
    <x v="41"/>
    <x v="8"/>
    <d v="2022-05-01T00:00:00"/>
  </r>
  <r>
    <s v="Cliente 152"/>
    <x v="0"/>
    <x v="0"/>
    <x v="1"/>
    <s v="Novo"/>
    <n v="28389528151"/>
    <s v="28389528151"/>
    <n v="2349"/>
    <n v="0"/>
    <n v="2349"/>
    <n v="704.69999999999993"/>
    <n v="1"/>
    <n v="2349"/>
    <x v="42"/>
    <x v="6"/>
    <d v="2022-04-01T00:00:00"/>
  </r>
  <r>
    <s v="Cliente 401"/>
    <x v="4"/>
    <x v="2"/>
    <x v="0"/>
    <s v="Renovação"/>
    <n v="28409390588"/>
    <s v="28409390588"/>
    <n v="8384"/>
    <n v="2272"/>
    <n v="6112"/>
    <n v="1222.4000000000001"/>
    <n v="1"/>
    <n v="8384"/>
    <x v="43"/>
    <x v="0"/>
    <d v="2022-06-01T00:00:00"/>
  </r>
  <r>
    <s v="Cliente 385"/>
    <x v="2"/>
    <x v="2"/>
    <x v="0"/>
    <s v="Renovação"/>
    <n v="28708544014"/>
    <s v="28708544014"/>
    <n v="3545"/>
    <n v="6120"/>
    <n v="0"/>
    <n v="0"/>
    <n v="1"/>
    <n v="3545"/>
    <x v="44"/>
    <x v="8"/>
    <d v="2022-05-01T00:00:00"/>
  </r>
  <r>
    <s v="Cliente 51"/>
    <x v="5"/>
    <x v="0"/>
    <x v="1"/>
    <s v="Renovação"/>
    <n v="29023657102"/>
    <s v="29023657102"/>
    <n v="7718"/>
    <n v="5224"/>
    <n v="2494"/>
    <n v="748.19999999999993"/>
    <n v="1"/>
    <n v="7718"/>
    <x v="45"/>
    <x v="8"/>
    <d v="2022-05-01T00:00:00"/>
  </r>
  <r>
    <s v="Cliente 219"/>
    <x v="3"/>
    <x v="2"/>
    <x v="1"/>
    <s v="Novo"/>
    <n v="29200656524"/>
    <s v="29200656524"/>
    <n v="1792"/>
    <n v="0"/>
    <n v="1792"/>
    <n v="537.6"/>
    <n v="1"/>
    <n v="1792"/>
    <x v="46"/>
    <x v="6"/>
    <d v="2022-04-01T00:00:00"/>
  </r>
  <r>
    <s v="Cliente 67"/>
    <x v="6"/>
    <x v="1"/>
    <x v="1"/>
    <s v="Renovação"/>
    <n v="29205168465"/>
    <s v="29205168465"/>
    <n v="9413"/>
    <n v="5145"/>
    <n v="4268"/>
    <n v="0"/>
    <n v="0"/>
    <n v="0"/>
    <x v="10"/>
    <x v="4"/>
    <b v="0"/>
  </r>
  <r>
    <s v="Cliente 263"/>
    <x v="5"/>
    <x v="0"/>
    <x v="1"/>
    <s v="Novo"/>
    <n v="29618698846"/>
    <s v="29618698846"/>
    <n v="3165"/>
    <n v="0"/>
    <n v="3165"/>
    <n v="949.5"/>
    <n v="1"/>
    <n v="3165"/>
    <x v="47"/>
    <x v="0"/>
    <d v="2022-06-01T00:00:00"/>
  </r>
  <r>
    <s v="Cliente 187"/>
    <x v="4"/>
    <x v="2"/>
    <x v="1"/>
    <s v="Novo"/>
    <n v="29847616541"/>
    <s v="29847616541"/>
    <n v="1007"/>
    <n v="0"/>
    <n v="1007"/>
    <n v="302.09999999999997"/>
    <n v="1"/>
    <n v="1007"/>
    <x v="48"/>
    <x v="8"/>
    <d v="2022-05-01T00:00:00"/>
  </r>
  <r>
    <s v="Cliente 448"/>
    <x v="4"/>
    <x v="2"/>
    <x v="0"/>
    <s v="Renovação"/>
    <n v="29876935639"/>
    <s v="29876935639"/>
    <n v="6280"/>
    <n v="9776"/>
    <n v="0"/>
    <n v="0"/>
    <n v="1"/>
    <n v="6280"/>
    <x v="49"/>
    <x v="0"/>
    <d v="2022-06-01T00:00:00"/>
  </r>
  <r>
    <s v="Cliente 454"/>
    <x v="0"/>
    <x v="0"/>
    <x v="0"/>
    <s v="Novo"/>
    <n v="30361266028"/>
    <s v="30361266028"/>
    <n v="4245"/>
    <n v="0"/>
    <n v="4245"/>
    <n v="849"/>
    <n v="1"/>
    <n v="4245"/>
    <x v="30"/>
    <x v="0"/>
    <d v="2022-06-01T00:00:00"/>
  </r>
  <r>
    <s v="Cliente 255"/>
    <x v="7"/>
    <x v="1"/>
    <x v="1"/>
    <s v="Novo"/>
    <n v="31261522571"/>
    <s v="31261522571"/>
    <n v="7960"/>
    <n v="0"/>
    <n v="7960"/>
    <n v="2388"/>
    <n v="1"/>
    <n v="7960"/>
    <x v="1"/>
    <x v="1"/>
    <d v="2022-05-01T00:00:00"/>
  </r>
  <r>
    <s v="Cliente 537"/>
    <x v="1"/>
    <x v="1"/>
    <x v="0"/>
    <s v="Novo"/>
    <n v="31360855667"/>
    <s v="31360855667"/>
    <n v="3865"/>
    <n v="0"/>
    <n v="3865"/>
    <n v="773"/>
    <n v="1"/>
    <n v="3865"/>
    <x v="26"/>
    <x v="9"/>
    <d v="2022-06-01T00:00:00"/>
  </r>
  <r>
    <s v="Cliente 446"/>
    <x v="0"/>
    <x v="0"/>
    <x v="0"/>
    <s v="Renovação"/>
    <n v="32251635550"/>
    <s v="32251635550"/>
    <n v="1227"/>
    <n v="3667"/>
    <n v="0"/>
    <n v="0"/>
    <n v="1"/>
    <n v="1227"/>
    <x v="50"/>
    <x v="2"/>
    <d v="2022-07-01T00:00:00"/>
  </r>
  <r>
    <s v="Cliente 91"/>
    <x v="2"/>
    <x v="2"/>
    <x v="1"/>
    <s v="Renovação"/>
    <n v="32267168945"/>
    <s v="32267168945"/>
    <n v="5249"/>
    <n v="1298"/>
    <n v="3951"/>
    <n v="0"/>
    <n v="0"/>
    <n v="0"/>
    <x v="10"/>
    <x v="5"/>
    <b v="0"/>
  </r>
  <r>
    <s v="Cliente 379"/>
    <x v="0"/>
    <x v="0"/>
    <x v="0"/>
    <s v="Renovação"/>
    <n v="32756974080"/>
    <s v="32756974080"/>
    <n v="5477"/>
    <n v="6351"/>
    <n v="0"/>
    <n v="0"/>
    <n v="1"/>
    <n v="5477"/>
    <x v="51"/>
    <x v="8"/>
    <d v="2022-05-01T00:00:00"/>
  </r>
  <r>
    <s v="Cliente 577"/>
    <x v="1"/>
    <x v="1"/>
    <x v="0"/>
    <s v="Novo"/>
    <n v="33200951092"/>
    <s v="33200951092"/>
    <n v="4463"/>
    <n v="0"/>
    <n v="4463"/>
    <n v="892.6"/>
    <n v="1"/>
    <n v="4463"/>
    <x v="32"/>
    <x v="7"/>
    <d v="2022-07-01T00:00:00"/>
  </r>
  <r>
    <s v="Cliente 144"/>
    <x v="7"/>
    <x v="1"/>
    <x v="1"/>
    <s v="Renovação"/>
    <n v="33351064437"/>
    <s v="33351064437"/>
    <n v="7475"/>
    <n v="6446"/>
    <n v="1029"/>
    <n v="0"/>
    <n v="0"/>
    <n v="0"/>
    <x v="10"/>
    <x v="4"/>
    <b v="0"/>
  </r>
  <r>
    <s v="Cliente 548"/>
    <x v="0"/>
    <x v="0"/>
    <x v="0"/>
    <s v="Novo"/>
    <n v="33755742473"/>
    <s v="33755742473"/>
    <n v="1095"/>
    <n v="0"/>
    <n v="1095"/>
    <n v="219"/>
    <n v="1"/>
    <n v="1095"/>
    <x v="52"/>
    <x v="0"/>
    <d v="2022-06-01T00:00:00"/>
  </r>
  <r>
    <s v="Cliente 233"/>
    <x v="2"/>
    <x v="2"/>
    <x v="1"/>
    <s v="Novo"/>
    <n v="33864434758"/>
    <s v="33864434758"/>
    <n v="5147"/>
    <n v="0"/>
    <n v="5147"/>
    <n v="1544.1"/>
    <n v="1"/>
    <n v="5147"/>
    <x v="48"/>
    <x v="8"/>
    <d v="2022-05-01T00:00:00"/>
  </r>
  <r>
    <s v="Cliente 360"/>
    <x v="4"/>
    <x v="2"/>
    <x v="0"/>
    <s v="Renovação"/>
    <n v="34075665236"/>
    <s v="34075665236"/>
    <n v="2306"/>
    <n v="5911"/>
    <n v="0"/>
    <n v="0"/>
    <n v="1"/>
    <n v="2306"/>
    <x v="53"/>
    <x v="0"/>
    <d v="2022-06-01T00:00:00"/>
  </r>
  <r>
    <s v="Cliente 5"/>
    <x v="3"/>
    <x v="2"/>
    <x v="1"/>
    <s v="Renovação"/>
    <n v="34321267262"/>
    <s v="34321267262"/>
    <n v="2159"/>
    <n v="8912"/>
    <n v="0"/>
    <n v="0"/>
    <n v="1"/>
    <n v="2159"/>
    <x v="39"/>
    <x v="2"/>
    <d v="2022-07-01T00:00:00"/>
  </r>
  <r>
    <s v="Cliente 268"/>
    <x v="4"/>
    <x v="2"/>
    <x v="1"/>
    <s v="Novo"/>
    <n v="34533972950"/>
    <s v="34533972950"/>
    <n v="7297"/>
    <n v="0"/>
    <n v="7297"/>
    <n v="2189.1"/>
    <n v="1"/>
    <n v="7297"/>
    <x v="30"/>
    <x v="0"/>
    <d v="2022-06-01T00:00:00"/>
  </r>
  <r>
    <s v="Cliente 132"/>
    <x v="7"/>
    <x v="1"/>
    <x v="1"/>
    <s v="Renovação"/>
    <n v="34843791204"/>
    <s v="34843791204"/>
    <n v="8185"/>
    <n v="6880"/>
    <n v="1305"/>
    <n v="391.5"/>
    <n v="1"/>
    <n v="8185"/>
    <x v="54"/>
    <x v="3"/>
    <d v="2022-04-01T00:00:00"/>
  </r>
  <r>
    <s v="Cliente 563"/>
    <x v="1"/>
    <x v="1"/>
    <x v="0"/>
    <s v="Novo"/>
    <n v="35102659602"/>
    <s v="35102659602"/>
    <n v="2449"/>
    <n v="0"/>
    <n v="2449"/>
    <n v="489.8"/>
    <n v="1"/>
    <n v="2449"/>
    <x v="55"/>
    <x v="7"/>
    <d v="2022-07-01T00:00:00"/>
  </r>
  <r>
    <s v="Cliente 234"/>
    <x v="6"/>
    <x v="1"/>
    <x v="1"/>
    <s v="Novo"/>
    <n v="35241468001"/>
    <s v="35241468001"/>
    <n v="7278"/>
    <n v="0"/>
    <n v="7278"/>
    <n v="2183.4"/>
    <n v="1"/>
    <n v="7278"/>
    <x v="39"/>
    <x v="7"/>
    <d v="2022-07-01T00:00:00"/>
  </r>
  <r>
    <s v="Cliente 428"/>
    <x v="4"/>
    <x v="2"/>
    <x v="0"/>
    <s v="Renovação"/>
    <n v="35642197653"/>
    <s v="35642197653"/>
    <n v="9531"/>
    <n v="2082"/>
    <n v="7449"/>
    <n v="1489.8000000000002"/>
    <n v="1"/>
    <n v="9531"/>
    <x v="45"/>
    <x v="8"/>
    <d v="2022-05-01T00:00:00"/>
  </r>
  <r>
    <s v="Cliente 192"/>
    <x v="4"/>
    <x v="2"/>
    <x v="1"/>
    <s v="Novo"/>
    <n v="35644982201"/>
    <s v="35644982201"/>
    <n v="3065"/>
    <n v="0"/>
    <n v="3065"/>
    <n v="919.5"/>
    <n v="1"/>
    <n v="3065"/>
    <x v="56"/>
    <x v="6"/>
    <d v="2022-04-01T00:00:00"/>
  </r>
  <r>
    <s v="Cliente 297"/>
    <x v="3"/>
    <x v="2"/>
    <x v="1"/>
    <s v="Novo"/>
    <n v="35905882520"/>
    <s v="35905882520"/>
    <n v="9025"/>
    <n v="0"/>
    <n v="9025"/>
    <n v="2707.5"/>
    <n v="1"/>
    <n v="9025"/>
    <x v="57"/>
    <x v="8"/>
    <d v="2022-05-01T00:00:00"/>
  </r>
  <r>
    <s v="Cliente 259"/>
    <x v="5"/>
    <x v="0"/>
    <x v="1"/>
    <s v="Novo"/>
    <n v="36354848379"/>
    <s v="36354848379"/>
    <n v="3128"/>
    <n v="0"/>
    <n v="3128"/>
    <n v="938.4"/>
    <n v="1"/>
    <n v="3128"/>
    <x v="28"/>
    <x v="0"/>
    <d v="2022-06-01T00:00:00"/>
  </r>
  <r>
    <s v="Cliente 502"/>
    <x v="5"/>
    <x v="0"/>
    <x v="0"/>
    <s v="Novo"/>
    <n v="36881304437"/>
    <s v="36881304437"/>
    <n v="8389"/>
    <n v="0"/>
    <n v="8389"/>
    <n v="1677.8000000000002"/>
    <n v="1"/>
    <n v="8389"/>
    <x v="6"/>
    <x v="6"/>
    <d v="2022-04-01T00:00:00"/>
  </r>
  <r>
    <s v="Cliente 382"/>
    <x v="7"/>
    <x v="1"/>
    <x v="0"/>
    <s v="Renovação"/>
    <n v="36921316304"/>
    <s v="36921316304"/>
    <n v="8544"/>
    <n v="1243"/>
    <n v="7301"/>
    <n v="1460.2"/>
    <n v="1"/>
    <n v="8544"/>
    <x v="58"/>
    <x v="7"/>
    <d v="2022-07-01T00:00:00"/>
  </r>
  <r>
    <s v="Cliente 431"/>
    <x v="3"/>
    <x v="2"/>
    <x v="0"/>
    <s v="Renovação"/>
    <n v="37309369468"/>
    <s v="37309369468"/>
    <n v="8787"/>
    <n v="8968"/>
    <n v="0"/>
    <n v="0"/>
    <n v="1"/>
    <n v="8787"/>
    <x v="59"/>
    <x v="8"/>
    <d v="2022-05-01T00:00:00"/>
  </r>
  <r>
    <s v="Cliente 307"/>
    <x v="0"/>
    <x v="0"/>
    <x v="0"/>
    <s v="Renovação"/>
    <n v="37897594549"/>
    <s v="37897594549"/>
    <n v="6329"/>
    <n v="4163"/>
    <n v="2166"/>
    <n v="433.20000000000005"/>
    <n v="1"/>
    <n v="6329"/>
    <x v="60"/>
    <x v="0"/>
    <d v="2022-06-01T00:00:00"/>
  </r>
  <r>
    <s v="Cliente 504"/>
    <x v="3"/>
    <x v="2"/>
    <x v="0"/>
    <s v="Novo"/>
    <n v="38245061659"/>
    <s v="38245061659"/>
    <n v="1800"/>
    <n v="0"/>
    <n v="1800"/>
    <n v="360"/>
    <n v="1"/>
    <n v="1800"/>
    <x v="61"/>
    <x v="2"/>
    <d v="2022-07-01T00:00:00"/>
  </r>
  <r>
    <s v="Cliente 230"/>
    <x v="0"/>
    <x v="0"/>
    <x v="1"/>
    <s v="Novo"/>
    <n v="38276640603"/>
    <s v="38276640603"/>
    <n v="8937"/>
    <n v="0"/>
    <n v="8937"/>
    <n v="2681.1"/>
    <n v="1"/>
    <n v="8937"/>
    <x v="62"/>
    <x v="6"/>
    <d v="2022-04-01T00:00:00"/>
  </r>
  <r>
    <s v="Cliente 27"/>
    <x v="7"/>
    <x v="1"/>
    <x v="1"/>
    <s v="Renovação"/>
    <n v="38621453271"/>
    <s v="38621453271"/>
    <n v="9645"/>
    <n v="5274"/>
    <n v="4371"/>
    <n v="1311.3"/>
    <n v="1"/>
    <n v="9645"/>
    <x v="63"/>
    <x v="3"/>
    <d v="2022-04-01T00:00:00"/>
  </r>
  <r>
    <s v="Cliente 104"/>
    <x v="5"/>
    <x v="0"/>
    <x v="1"/>
    <s v="Renovação"/>
    <n v="39183927327"/>
    <s v="39183927327"/>
    <n v="6643"/>
    <n v="9234"/>
    <n v="0"/>
    <n v="0"/>
    <n v="1"/>
    <n v="6643"/>
    <x v="64"/>
    <x v="2"/>
    <d v="2022-07-01T00:00:00"/>
  </r>
  <r>
    <s v="Cliente 340"/>
    <x v="2"/>
    <x v="2"/>
    <x v="0"/>
    <s v="Renovação"/>
    <n v="39597966962"/>
    <s v="39597966962"/>
    <n v="1812"/>
    <n v="4125"/>
    <n v="0"/>
    <n v="0"/>
    <n v="1"/>
    <n v="1812"/>
    <x v="62"/>
    <x v="6"/>
    <d v="2022-04-01T00:00:00"/>
  </r>
  <r>
    <s v="Cliente 576"/>
    <x v="0"/>
    <x v="0"/>
    <x v="0"/>
    <s v="Novo"/>
    <n v="39601350564"/>
    <s v="39601350564"/>
    <n v="9768"/>
    <n v="0"/>
    <n v="9768"/>
    <n v="1953.6000000000001"/>
    <n v="1"/>
    <n v="9768"/>
    <x v="61"/>
    <x v="2"/>
    <d v="2022-07-01T00:00:00"/>
  </r>
  <r>
    <s v="Cliente 510"/>
    <x v="4"/>
    <x v="2"/>
    <x v="0"/>
    <s v="Novo"/>
    <n v="40096979066"/>
    <s v="40096979066"/>
    <n v="6017"/>
    <n v="0"/>
    <n v="6017"/>
    <n v="1203.4000000000001"/>
    <n v="1"/>
    <n v="6017"/>
    <x v="65"/>
    <x v="6"/>
    <d v="2022-04-01T00:00:00"/>
  </r>
  <r>
    <s v="Cliente 76"/>
    <x v="6"/>
    <x v="1"/>
    <x v="1"/>
    <s v="Renovação"/>
    <n v="40910882284"/>
    <s v="40910882284"/>
    <n v="1846"/>
    <n v="3271"/>
    <n v="0"/>
    <n v="0"/>
    <n v="1"/>
    <n v="1846"/>
    <x v="66"/>
    <x v="9"/>
    <d v="2022-06-01T00:00:00"/>
  </r>
  <r>
    <s v="Cliente 391"/>
    <x v="7"/>
    <x v="1"/>
    <x v="0"/>
    <s v="Renovação"/>
    <n v="40987840691"/>
    <s v="40987840691"/>
    <n v="5894"/>
    <n v="7609"/>
    <n v="0"/>
    <n v="0"/>
    <n v="1"/>
    <n v="5894"/>
    <x v="35"/>
    <x v="3"/>
    <d v="2022-04-01T00:00:00"/>
  </r>
  <r>
    <s v="Cliente 128"/>
    <x v="2"/>
    <x v="2"/>
    <x v="1"/>
    <s v="Renovação"/>
    <n v="41185416771"/>
    <s v="41185416771"/>
    <n v="6712"/>
    <n v="3167"/>
    <n v="3545"/>
    <n v="1063.5"/>
    <n v="1"/>
    <n v="6712"/>
    <x v="67"/>
    <x v="8"/>
    <d v="2022-05-01T00:00:00"/>
  </r>
  <r>
    <s v="Cliente 133"/>
    <x v="7"/>
    <x v="1"/>
    <x v="1"/>
    <s v="Renovação"/>
    <n v="41263358630"/>
    <s v="41263358630"/>
    <n v="6390"/>
    <n v="9648"/>
    <n v="0"/>
    <n v="0"/>
    <n v="1"/>
    <n v="6390"/>
    <x v="5"/>
    <x v="7"/>
    <d v="2022-07-01T00:00:00"/>
  </r>
  <r>
    <s v="Cliente 366"/>
    <x v="3"/>
    <x v="2"/>
    <x v="0"/>
    <s v="Renovação"/>
    <n v="41517497984"/>
    <s v="41517497984"/>
    <n v="4905"/>
    <n v="4065"/>
    <n v="840"/>
    <n v="168"/>
    <n v="1"/>
    <n v="4905"/>
    <x v="6"/>
    <x v="6"/>
    <d v="2022-04-01T00:00:00"/>
  </r>
  <r>
    <s v="Cliente 282"/>
    <x v="1"/>
    <x v="1"/>
    <x v="1"/>
    <s v="Novo"/>
    <n v="41628867133"/>
    <s v="41628867133"/>
    <n v="9646"/>
    <n v="0"/>
    <n v="9646"/>
    <n v="2893.7999999999997"/>
    <n v="1"/>
    <n v="9646"/>
    <x v="26"/>
    <x v="9"/>
    <d v="2022-06-01T00:00:00"/>
  </r>
  <r>
    <s v="Cliente 209"/>
    <x v="4"/>
    <x v="2"/>
    <x v="1"/>
    <s v="Novo"/>
    <n v="41782027885"/>
    <s v="41782027885"/>
    <n v="5113"/>
    <n v="0"/>
    <n v="5113"/>
    <n v="1533.8999999999999"/>
    <n v="1"/>
    <n v="5113"/>
    <x v="65"/>
    <x v="6"/>
    <d v="2022-04-01T00:00:00"/>
  </r>
  <r>
    <s v="Cliente 370"/>
    <x v="6"/>
    <x v="1"/>
    <x v="0"/>
    <s v="Renovação"/>
    <n v="41832921043"/>
    <s v="41832921043"/>
    <n v="9876"/>
    <n v="6910"/>
    <n v="2966"/>
    <n v="593.20000000000005"/>
    <n v="1"/>
    <n v="9876"/>
    <x v="65"/>
    <x v="3"/>
    <d v="2022-04-01T00:00:00"/>
  </r>
  <r>
    <s v="Cliente 203"/>
    <x v="6"/>
    <x v="1"/>
    <x v="1"/>
    <s v="Novo"/>
    <n v="42063789316"/>
    <s v="42063789316"/>
    <n v="6483"/>
    <n v="0"/>
    <n v="6483"/>
    <n v="1944.8999999999999"/>
    <n v="1"/>
    <n v="6483"/>
    <x v="55"/>
    <x v="7"/>
    <d v="2022-07-01T00:00:00"/>
  </r>
  <r>
    <s v="Cliente 439"/>
    <x v="4"/>
    <x v="2"/>
    <x v="0"/>
    <s v="Renovação"/>
    <n v="42370104789"/>
    <s v="42370104789"/>
    <n v="9294"/>
    <n v="4301"/>
    <n v="4993"/>
    <n v="998.6"/>
    <n v="1"/>
    <n v="9294"/>
    <x v="23"/>
    <x v="8"/>
    <d v="2022-05-01T00:00:00"/>
  </r>
  <r>
    <s v="Cliente 543"/>
    <x v="1"/>
    <x v="1"/>
    <x v="0"/>
    <s v="Novo"/>
    <n v="42625820582"/>
    <s v="42625820582"/>
    <n v="7089"/>
    <n v="0"/>
    <n v="7089"/>
    <n v="1417.8000000000002"/>
    <n v="1"/>
    <n v="7089"/>
    <x v="68"/>
    <x v="7"/>
    <d v="2022-07-01T00:00:00"/>
  </r>
  <r>
    <s v="Cliente 581"/>
    <x v="1"/>
    <x v="1"/>
    <x v="0"/>
    <s v="Novo"/>
    <n v="42659605391"/>
    <s v="42659605391"/>
    <n v="8367"/>
    <n v="0"/>
    <n v="8367"/>
    <n v="1673.4"/>
    <n v="1"/>
    <n v="8367"/>
    <x v="16"/>
    <x v="3"/>
    <d v="2022-04-01T00:00:00"/>
  </r>
  <r>
    <s v="Cliente 194"/>
    <x v="0"/>
    <x v="0"/>
    <x v="1"/>
    <s v="Novo"/>
    <n v="42874972925"/>
    <s v="42874972925"/>
    <n v="1647"/>
    <n v="0"/>
    <n v="1647"/>
    <n v="494.09999999999997"/>
    <n v="1"/>
    <n v="1647"/>
    <x v="69"/>
    <x v="8"/>
    <d v="2022-05-01T00:00:00"/>
  </r>
  <r>
    <s v="Cliente 352"/>
    <x v="6"/>
    <x v="1"/>
    <x v="0"/>
    <s v="Renovação"/>
    <n v="43360364678"/>
    <s v="43360364678"/>
    <n v="7001"/>
    <n v="6523"/>
    <n v="478"/>
    <n v="95.600000000000009"/>
    <n v="1"/>
    <n v="7001"/>
    <x v="70"/>
    <x v="3"/>
    <d v="2022-04-01T00:00:00"/>
  </r>
  <r>
    <s v="Cliente 87"/>
    <x v="2"/>
    <x v="2"/>
    <x v="1"/>
    <s v="Renovação"/>
    <n v="43423666928"/>
    <s v="43423666928"/>
    <n v="3668"/>
    <n v="9798"/>
    <n v="0"/>
    <n v="0"/>
    <n v="1"/>
    <n v="3668"/>
    <x v="71"/>
    <x v="0"/>
    <d v="2022-06-01T00:00:00"/>
  </r>
  <r>
    <s v="Cliente 427"/>
    <x v="3"/>
    <x v="2"/>
    <x v="0"/>
    <s v="Renovação"/>
    <n v="43676344145"/>
    <s v="43676344145"/>
    <n v="5712"/>
    <n v="8600"/>
    <n v="0"/>
    <n v="0"/>
    <n v="1"/>
    <n v="5712"/>
    <x v="47"/>
    <x v="0"/>
    <d v="2022-06-01T00:00:00"/>
  </r>
  <r>
    <s v="Cliente 368"/>
    <x v="3"/>
    <x v="2"/>
    <x v="0"/>
    <s v="Renovação"/>
    <n v="44382053907"/>
    <s v="44382053907"/>
    <n v="9029"/>
    <n v="3639"/>
    <n v="5390"/>
    <n v="1078"/>
    <n v="1"/>
    <n v="9029"/>
    <x v="27"/>
    <x v="8"/>
    <d v="2022-05-01T00:00:00"/>
  </r>
  <r>
    <s v="Cliente 149"/>
    <x v="4"/>
    <x v="2"/>
    <x v="1"/>
    <s v="Renovação"/>
    <n v="44416327413"/>
    <s v="44416327413"/>
    <n v="1085"/>
    <n v="9249"/>
    <n v="0"/>
    <n v="0"/>
    <n v="0"/>
    <n v="0"/>
    <x v="10"/>
    <x v="5"/>
    <b v="0"/>
  </r>
  <r>
    <s v="Cliente 447"/>
    <x v="7"/>
    <x v="1"/>
    <x v="0"/>
    <s v="Renovação"/>
    <n v="44422359936"/>
    <s v="44422359936"/>
    <n v="9340"/>
    <n v="3338"/>
    <n v="6002"/>
    <n v="1200.4000000000001"/>
    <n v="1"/>
    <n v="9340"/>
    <x v="15"/>
    <x v="1"/>
    <d v="2022-05-01T00:00:00"/>
  </r>
  <r>
    <s v="Cliente 65"/>
    <x v="3"/>
    <x v="2"/>
    <x v="1"/>
    <s v="Renovação"/>
    <n v="44423229021"/>
    <s v="44423229021"/>
    <n v="3379"/>
    <n v="1180"/>
    <n v="2199"/>
    <n v="659.69999999999993"/>
    <n v="1"/>
    <n v="3379"/>
    <x v="24"/>
    <x v="0"/>
    <d v="2022-06-01T00:00:00"/>
  </r>
  <r>
    <s v="Cliente 22"/>
    <x v="0"/>
    <x v="0"/>
    <x v="1"/>
    <s v="Renovação"/>
    <n v="44783399451"/>
    <s v="44783399451"/>
    <n v="6702"/>
    <n v="2525"/>
    <n v="4177"/>
    <n v="0"/>
    <n v="0"/>
    <n v="0"/>
    <x v="10"/>
    <x v="5"/>
    <b v="0"/>
  </r>
  <r>
    <s v="Cliente 386"/>
    <x v="6"/>
    <x v="1"/>
    <x v="0"/>
    <s v="Renovação"/>
    <n v="44894556549"/>
    <s v="44894556549"/>
    <n v="3699"/>
    <n v="1252"/>
    <n v="2447"/>
    <n v="489.40000000000003"/>
    <n v="1"/>
    <n v="3699"/>
    <x v="47"/>
    <x v="9"/>
    <d v="2022-06-01T00:00:00"/>
  </r>
  <r>
    <s v="Cliente 477"/>
    <x v="2"/>
    <x v="2"/>
    <x v="0"/>
    <s v="Novo"/>
    <n v="45018525698"/>
    <s v="45018525698"/>
    <n v="8774"/>
    <n v="0"/>
    <n v="8774"/>
    <n v="1754.8000000000002"/>
    <n v="1"/>
    <n v="8774"/>
    <x v="72"/>
    <x v="6"/>
    <d v="2022-04-01T00:00:00"/>
  </r>
  <r>
    <s v="Cliente 524"/>
    <x v="0"/>
    <x v="0"/>
    <x v="0"/>
    <s v="Novo"/>
    <n v="45386044531"/>
    <s v="45386044531"/>
    <n v="8734"/>
    <n v="0"/>
    <n v="8734"/>
    <n v="1746.8000000000002"/>
    <n v="1"/>
    <n v="8734"/>
    <x v="73"/>
    <x v="2"/>
    <d v="2022-07-01T00:00:00"/>
  </r>
  <r>
    <s v="Cliente 202"/>
    <x v="0"/>
    <x v="0"/>
    <x v="1"/>
    <s v="Novo"/>
    <n v="46219531250"/>
    <s v="46219531250"/>
    <n v="6462"/>
    <n v="0"/>
    <n v="6462"/>
    <n v="1938.6"/>
    <n v="1"/>
    <n v="6462"/>
    <x v="74"/>
    <x v="8"/>
    <d v="2022-05-01T00:00:00"/>
  </r>
  <r>
    <s v="Cliente 136"/>
    <x v="1"/>
    <x v="1"/>
    <x v="1"/>
    <s v="Renovação"/>
    <n v="47315980598"/>
    <s v="47315980598"/>
    <n v="8620"/>
    <n v="6686"/>
    <n v="1934"/>
    <n v="580.19999999999993"/>
    <n v="1"/>
    <n v="8620"/>
    <x v="12"/>
    <x v="7"/>
    <d v="2022-07-01T00:00:00"/>
  </r>
  <r>
    <s v="Cliente 124"/>
    <x v="3"/>
    <x v="2"/>
    <x v="1"/>
    <s v="Renovação"/>
    <n v="47463966097"/>
    <s v="47463966097"/>
    <n v="7887"/>
    <n v="9973"/>
    <n v="0"/>
    <n v="0"/>
    <n v="1"/>
    <n v="7887"/>
    <x v="17"/>
    <x v="2"/>
    <d v="2022-07-01T00:00:00"/>
  </r>
  <r>
    <s v="Cliente 376"/>
    <x v="2"/>
    <x v="2"/>
    <x v="0"/>
    <s v="Renovação"/>
    <n v="47765708723"/>
    <s v="47765708723"/>
    <n v="5944"/>
    <n v="3547"/>
    <n v="2397"/>
    <n v="479.40000000000003"/>
    <n v="1"/>
    <n v="5944"/>
    <x v="75"/>
    <x v="0"/>
    <d v="2022-06-01T00:00:00"/>
  </r>
  <r>
    <s v="Cliente 555"/>
    <x v="4"/>
    <x v="2"/>
    <x v="0"/>
    <s v="Novo"/>
    <n v="48219341631"/>
    <s v="48219341631"/>
    <n v="9876"/>
    <n v="0"/>
    <n v="9876"/>
    <n v="1975.2"/>
    <n v="1"/>
    <n v="9876"/>
    <x v="51"/>
    <x v="8"/>
    <d v="2022-05-01T00:00:00"/>
  </r>
  <r>
    <s v="Cliente 445"/>
    <x v="0"/>
    <x v="0"/>
    <x v="0"/>
    <s v="Renovação"/>
    <n v="48393215352"/>
    <s v="48393215352"/>
    <n v="2532"/>
    <n v="4600"/>
    <n v="0"/>
    <n v="0"/>
    <n v="1"/>
    <n v="2532"/>
    <x v="76"/>
    <x v="8"/>
    <d v="2022-05-01T00:00:00"/>
  </r>
  <r>
    <s v="Cliente 139"/>
    <x v="2"/>
    <x v="2"/>
    <x v="1"/>
    <s v="Renovação"/>
    <n v="48487501774"/>
    <s v="48487501774"/>
    <n v="3667"/>
    <n v="9229"/>
    <n v="0"/>
    <n v="0"/>
    <n v="0"/>
    <n v="0"/>
    <x v="10"/>
    <x v="5"/>
    <b v="0"/>
  </r>
  <r>
    <s v="Cliente 493"/>
    <x v="4"/>
    <x v="2"/>
    <x v="0"/>
    <s v="Novo"/>
    <n v="48811863697"/>
    <s v="48811863697"/>
    <n v="2978"/>
    <n v="0"/>
    <n v="2978"/>
    <n v="595.6"/>
    <n v="1"/>
    <n v="2978"/>
    <x v="21"/>
    <x v="6"/>
    <d v="2022-04-01T00:00:00"/>
  </r>
  <r>
    <s v="Cliente 109"/>
    <x v="7"/>
    <x v="1"/>
    <x v="1"/>
    <s v="Renovação"/>
    <n v="48823560316"/>
    <s v="48823560316"/>
    <n v="3718"/>
    <n v="2051"/>
    <n v="1667"/>
    <n v="500.09999999999997"/>
    <n v="1"/>
    <n v="3718"/>
    <x v="7"/>
    <x v="7"/>
    <d v="2022-07-01T00:00:00"/>
  </r>
  <r>
    <s v="Cliente 290"/>
    <x v="7"/>
    <x v="1"/>
    <x v="1"/>
    <s v="Novo"/>
    <n v="48964718482"/>
    <s v="48964718482"/>
    <n v="8736"/>
    <n v="0"/>
    <n v="8736"/>
    <n v="2620.7999999999997"/>
    <n v="1"/>
    <n v="8736"/>
    <x v="13"/>
    <x v="3"/>
    <d v="2022-04-01T00:00:00"/>
  </r>
  <r>
    <s v="Cliente 415"/>
    <x v="3"/>
    <x v="2"/>
    <x v="0"/>
    <s v="Renovação"/>
    <n v="49409975467"/>
    <s v="49409975467"/>
    <n v="7472"/>
    <n v="3952"/>
    <n v="3520"/>
    <n v="704"/>
    <n v="1"/>
    <n v="7472"/>
    <x v="58"/>
    <x v="2"/>
    <d v="2022-07-01T00:00:00"/>
  </r>
  <r>
    <s v="Cliente 544"/>
    <x v="7"/>
    <x v="1"/>
    <x v="0"/>
    <s v="Novo"/>
    <n v="49906016636"/>
    <s v="49906016636"/>
    <n v="4407"/>
    <n v="0"/>
    <n v="4407"/>
    <n v="881.40000000000009"/>
    <n v="1"/>
    <n v="4407"/>
    <x v="70"/>
    <x v="3"/>
    <d v="2022-04-01T00:00:00"/>
  </r>
  <r>
    <s v="Cliente 334"/>
    <x v="3"/>
    <x v="2"/>
    <x v="0"/>
    <s v="Renovação"/>
    <n v="50124645992"/>
    <s v="50124645992"/>
    <n v="5893"/>
    <n v="5475"/>
    <n v="418"/>
    <n v="83.600000000000009"/>
    <n v="1"/>
    <n v="5893"/>
    <x v="53"/>
    <x v="0"/>
    <d v="2022-06-01T00:00:00"/>
  </r>
  <r>
    <s v="Cliente 231"/>
    <x v="5"/>
    <x v="0"/>
    <x v="1"/>
    <s v="Novo"/>
    <n v="50141660184"/>
    <s v="50141660184"/>
    <n v="1817"/>
    <n v="0"/>
    <n v="1817"/>
    <n v="545.1"/>
    <n v="1"/>
    <n v="1817"/>
    <x v="77"/>
    <x v="2"/>
    <d v="2022-07-01T00:00:00"/>
  </r>
  <r>
    <s v="Cliente 36"/>
    <x v="1"/>
    <x v="1"/>
    <x v="1"/>
    <s v="Renovação"/>
    <n v="50846615899"/>
    <s v="50846615899"/>
    <n v="5217"/>
    <n v="2024"/>
    <n v="3193"/>
    <n v="957.9"/>
    <n v="1"/>
    <n v="5217"/>
    <x v="57"/>
    <x v="1"/>
    <d v="2022-05-01T00:00:00"/>
  </r>
  <r>
    <s v="Cliente 413"/>
    <x v="6"/>
    <x v="1"/>
    <x v="0"/>
    <s v="Renovação"/>
    <n v="51770552315"/>
    <s v="51770552315"/>
    <n v="5969"/>
    <n v="6289"/>
    <n v="0"/>
    <n v="0"/>
    <n v="1"/>
    <n v="5969"/>
    <x v="63"/>
    <x v="3"/>
    <d v="2022-04-01T00:00:00"/>
  </r>
  <r>
    <s v="Cliente 582"/>
    <x v="6"/>
    <x v="1"/>
    <x v="0"/>
    <s v="Novo"/>
    <n v="51914464187"/>
    <s v="51914464187"/>
    <n v="2683"/>
    <n v="0"/>
    <n v="2683"/>
    <n v="536.6"/>
    <n v="1"/>
    <n v="2683"/>
    <x v="78"/>
    <x v="1"/>
    <d v="2022-05-01T00:00:00"/>
  </r>
  <r>
    <s v="Cliente 56"/>
    <x v="0"/>
    <x v="0"/>
    <x v="1"/>
    <s v="Renovação"/>
    <n v="52488357799"/>
    <s v="52488357799"/>
    <n v="5691"/>
    <n v="1329"/>
    <n v="4362"/>
    <n v="1308.5999999999999"/>
    <n v="1"/>
    <n v="5691"/>
    <x v="64"/>
    <x v="2"/>
    <d v="2022-07-01T00:00:00"/>
  </r>
  <r>
    <s v="Cliente 570"/>
    <x v="7"/>
    <x v="1"/>
    <x v="0"/>
    <s v="Novo"/>
    <n v="52527862981"/>
    <s v="52527862981"/>
    <n v="4138"/>
    <n v="0"/>
    <n v="4138"/>
    <n v="827.6"/>
    <n v="1"/>
    <n v="4138"/>
    <x v="79"/>
    <x v="3"/>
    <d v="2022-04-01T00:00:00"/>
  </r>
  <r>
    <s v="Cliente 432"/>
    <x v="7"/>
    <x v="1"/>
    <x v="0"/>
    <s v="Renovação"/>
    <n v="53031845277"/>
    <s v="53031845277"/>
    <n v="6766"/>
    <n v="2013"/>
    <n v="4753"/>
    <n v="950.6"/>
    <n v="1"/>
    <n v="6766"/>
    <x v="80"/>
    <x v="7"/>
    <d v="2022-07-01T00:00:00"/>
  </r>
  <r>
    <s v="Cliente 97"/>
    <x v="5"/>
    <x v="0"/>
    <x v="1"/>
    <s v="Renovação"/>
    <n v="53394487378"/>
    <s v="53394487378"/>
    <n v="3373"/>
    <n v="6660"/>
    <n v="0"/>
    <n v="0"/>
    <n v="1"/>
    <n v="3373"/>
    <x v="5"/>
    <x v="2"/>
    <d v="2022-07-01T00:00:00"/>
  </r>
  <r>
    <s v="Cliente 420"/>
    <x v="7"/>
    <x v="1"/>
    <x v="0"/>
    <s v="Renovação"/>
    <n v="54387614900"/>
    <s v="54387614900"/>
    <n v="3895"/>
    <n v="5963"/>
    <n v="0"/>
    <n v="0"/>
    <n v="1"/>
    <n v="3895"/>
    <x v="71"/>
    <x v="9"/>
    <d v="2022-06-01T00:00:00"/>
  </r>
  <r>
    <s v="Cliente 325"/>
    <x v="6"/>
    <x v="1"/>
    <x v="0"/>
    <s v="Renovação"/>
    <n v="54527343156"/>
    <s v="54527343156"/>
    <n v="4323"/>
    <n v="8218"/>
    <n v="0"/>
    <n v="0"/>
    <n v="1"/>
    <n v="4323"/>
    <x v="81"/>
    <x v="9"/>
    <d v="2022-06-01T00:00:00"/>
  </r>
  <r>
    <s v="Cliente 429"/>
    <x v="7"/>
    <x v="1"/>
    <x v="0"/>
    <s v="Renovação"/>
    <n v="54720744853"/>
    <s v="54720744853"/>
    <n v="7964"/>
    <n v="6908"/>
    <n v="1056"/>
    <n v="211.20000000000002"/>
    <n v="1"/>
    <n v="7964"/>
    <x v="82"/>
    <x v="1"/>
    <d v="2022-05-01T00:00:00"/>
  </r>
  <r>
    <s v="Cliente 115"/>
    <x v="2"/>
    <x v="2"/>
    <x v="1"/>
    <s v="Renovação"/>
    <n v="54904928546"/>
    <s v="54904928546"/>
    <n v="1833"/>
    <n v="7204"/>
    <n v="0"/>
    <n v="0"/>
    <n v="0"/>
    <n v="0"/>
    <x v="10"/>
    <x v="5"/>
    <b v="0"/>
  </r>
  <r>
    <s v="Cliente 295"/>
    <x v="3"/>
    <x v="2"/>
    <x v="1"/>
    <s v="Novo"/>
    <n v="55213164091"/>
    <s v="55213164091"/>
    <n v="1756"/>
    <n v="0"/>
    <n v="1756"/>
    <n v="526.79999999999995"/>
    <n v="1"/>
    <n v="1756"/>
    <x v="83"/>
    <x v="0"/>
    <d v="2022-06-01T00:00:00"/>
  </r>
  <r>
    <s v="Cliente 199"/>
    <x v="4"/>
    <x v="2"/>
    <x v="1"/>
    <s v="Novo"/>
    <n v="55421503183"/>
    <s v="55421503183"/>
    <n v="1370"/>
    <n v="0"/>
    <n v="1370"/>
    <n v="411"/>
    <n v="1"/>
    <n v="1370"/>
    <x v="84"/>
    <x v="6"/>
    <d v="2022-04-01T00:00:00"/>
  </r>
  <r>
    <s v="Cliente 407"/>
    <x v="4"/>
    <x v="2"/>
    <x v="0"/>
    <s v="Renovação"/>
    <n v="55701753285"/>
    <s v="55701753285"/>
    <n v="6101"/>
    <n v="6537"/>
    <n v="0"/>
    <n v="0"/>
    <n v="1"/>
    <n v="6101"/>
    <x v="20"/>
    <x v="0"/>
    <d v="2022-06-01T00:00:00"/>
  </r>
  <r>
    <s v="Cliente 469"/>
    <x v="7"/>
    <x v="1"/>
    <x v="0"/>
    <s v="Novo"/>
    <n v="55844180898"/>
    <s v="55844180898"/>
    <n v="1547"/>
    <n v="0"/>
    <n v="1547"/>
    <n v="309.40000000000003"/>
    <n v="1"/>
    <n v="1547"/>
    <x v="9"/>
    <x v="7"/>
    <d v="2022-07-01T00:00:00"/>
  </r>
  <r>
    <s v="Cliente 591"/>
    <x v="4"/>
    <x v="2"/>
    <x v="0"/>
    <s v="Novo"/>
    <n v="56240613943"/>
    <s v="56240613943"/>
    <n v="8985"/>
    <n v="0"/>
    <n v="8985"/>
    <n v="1797"/>
    <n v="1"/>
    <n v="8985"/>
    <x v="57"/>
    <x v="8"/>
    <d v="2022-05-01T00:00:00"/>
  </r>
  <r>
    <s v="Cliente 17"/>
    <x v="7"/>
    <x v="1"/>
    <x v="1"/>
    <s v="Renovação"/>
    <n v="56599553971"/>
    <s v="56599553971"/>
    <n v="9005"/>
    <n v="8693"/>
    <n v="312"/>
    <n v="0"/>
    <n v="0"/>
    <n v="0"/>
    <x v="10"/>
    <x v="4"/>
    <b v="0"/>
  </r>
  <r>
    <s v="Cliente 15"/>
    <x v="7"/>
    <x v="1"/>
    <x v="1"/>
    <s v="Renovação"/>
    <n v="57413657804"/>
    <s v="57413657804"/>
    <n v="2167"/>
    <n v="1512"/>
    <n v="655"/>
    <n v="196.5"/>
    <n v="1"/>
    <n v="2167"/>
    <x v="27"/>
    <x v="1"/>
    <d v="2022-05-01T00:00:00"/>
  </r>
  <r>
    <s v="Cliente 252"/>
    <x v="7"/>
    <x v="1"/>
    <x v="1"/>
    <s v="Novo"/>
    <n v="57944047841"/>
    <s v="57944047841"/>
    <n v="9127"/>
    <n v="0"/>
    <n v="9127"/>
    <n v="2738.1"/>
    <n v="1"/>
    <n v="9127"/>
    <x v="59"/>
    <x v="1"/>
    <d v="2022-05-01T00:00:00"/>
  </r>
  <r>
    <s v="Cliente 364"/>
    <x v="5"/>
    <x v="0"/>
    <x v="0"/>
    <s v="Renovação"/>
    <n v="58471353109"/>
    <s v="58471353109"/>
    <n v="8901"/>
    <n v="4343"/>
    <n v="4558"/>
    <n v="911.6"/>
    <n v="1"/>
    <n v="8901"/>
    <x v="85"/>
    <x v="8"/>
    <d v="2022-05-01T00:00:00"/>
  </r>
  <r>
    <s v="Cliente 418"/>
    <x v="4"/>
    <x v="2"/>
    <x v="0"/>
    <s v="Renovação"/>
    <n v="59188776282"/>
    <s v="59188776282"/>
    <n v="8387"/>
    <n v="1506"/>
    <n v="6881"/>
    <n v="1376.2"/>
    <n v="1"/>
    <n v="8387"/>
    <x v="62"/>
    <x v="6"/>
    <d v="2022-04-01T00:00:00"/>
  </r>
  <r>
    <s v="Cliente 54"/>
    <x v="0"/>
    <x v="0"/>
    <x v="1"/>
    <s v="Renovação"/>
    <n v="59196860850"/>
    <s v="59196860850"/>
    <n v="6269"/>
    <n v="8926"/>
    <n v="0"/>
    <n v="0"/>
    <n v="1"/>
    <n v="6269"/>
    <x v="29"/>
    <x v="0"/>
    <d v="2022-06-01T00:00:00"/>
  </r>
  <r>
    <s v="Cliente 224"/>
    <x v="1"/>
    <x v="1"/>
    <x v="1"/>
    <s v="Novo"/>
    <n v="59290608506"/>
    <s v="59290608506"/>
    <n v="5612"/>
    <n v="0"/>
    <n v="5612"/>
    <n v="1683.6"/>
    <n v="1"/>
    <n v="5612"/>
    <x v="86"/>
    <x v="7"/>
    <d v="2022-07-01T00:00:00"/>
  </r>
  <r>
    <s v="Cliente 229"/>
    <x v="3"/>
    <x v="2"/>
    <x v="1"/>
    <s v="Novo"/>
    <n v="59308539774"/>
    <s v="59308539774"/>
    <n v="7148"/>
    <n v="0"/>
    <n v="7148"/>
    <n v="2144.4"/>
    <n v="1"/>
    <n v="7148"/>
    <x v="70"/>
    <x v="6"/>
    <d v="2022-04-01T00:00:00"/>
  </r>
  <r>
    <s v="Cliente 351"/>
    <x v="5"/>
    <x v="0"/>
    <x v="0"/>
    <s v="Renovação"/>
    <n v="59364884973"/>
    <s v="59364884973"/>
    <n v="7525"/>
    <n v="9398"/>
    <n v="0"/>
    <n v="0"/>
    <n v="1"/>
    <n v="7525"/>
    <x v="61"/>
    <x v="2"/>
    <d v="2022-07-01T00:00:00"/>
  </r>
  <r>
    <s v="Cliente 306"/>
    <x v="2"/>
    <x v="2"/>
    <x v="0"/>
    <s v="Renovação"/>
    <n v="59858313655"/>
    <s v="59858313655"/>
    <n v="4856"/>
    <n v="5265"/>
    <n v="0"/>
    <n v="0"/>
    <n v="1"/>
    <n v="4856"/>
    <x v="47"/>
    <x v="0"/>
    <d v="2022-06-01T00:00:00"/>
  </r>
  <r>
    <s v="Cliente 197"/>
    <x v="6"/>
    <x v="1"/>
    <x v="1"/>
    <s v="Novo"/>
    <n v="60252317043"/>
    <s v="60252317043"/>
    <n v="7652"/>
    <n v="0"/>
    <n v="7652"/>
    <n v="2295.6"/>
    <n v="1"/>
    <n v="7652"/>
    <x v="85"/>
    <x v="1"/>
    <d v="2022-05-01T00:00:00"/>
  </r>
  <r>
    <s v="Cliente 580"/>
    <x v="4"/>
    <x v="2"/>
    <x v="0"/>
    <s v="Novo"/>
    <n v="60333804194"/>
    <s v="60333804194"/>
    <n v="4273"/>
    <n v="0"/>
    <n v="4273"/>
    <n v="854.6"/>
    <n v="1"/>
    <n v="4273"/>
    <x v="20"/>
    <x v="0"/>
    <d v="2022-06-01T00:00:00"/>
  </r>
  <r>
    <s v="Cliente 206"/>
    <x v="5"/>
    <x v="0"/>
    <x v="1"/>
    <s v="Novo"/>
    <n v="60739388191"/>
    <s v="60739388191"/>
    <n v="8751"/>
    <n v="0"/>
    <n v="8751"/>
    <n v="2625.2999999999997"/>
    <n v="1"/>
    <n v="8751"/>
    <x v="73"/>
    <x v="2"/>
    <d v="2022-07-01T00:00:00"/>
  </r>
  <r>
    <s v="Cliente 347"/>
    <x v="3"/>
    <x v="2"/>
    <x v="0"/>
    <s v="Renovação"/>
    <n v="61350834145"/>
    <s v="61350834145"/>
    <n v="7260"/>
    <n v="8929"/>
    <n v="0"/>
    <n v="0"/>
    <n v="1"/>
    <n v="7260"/>
    <x v="87"/>
    <x v="2"/>
    <d v="2022-07-01T00:00:00"/>
  </r>
  <r>
    <s v="Cliente 403"/>
    <x v="6"/>
    <x v="1"/>
    <x v="0"/>
    <s v="Renovação"/>
    <n v="61540307470"/>
    <s v="61540307470"/>
    <n v="4257"/>
    <n v="6915"/>
    <n v="0"/>
    <n v="0"/>
    <n v="1"/>
    <n v="4257"/>
    <x v="21"/>
    <x v="3"/>
    <d v="2022-04-01T00:00:00"/>
  </r>
  <r>
    <s v="Cliente 430"/>
    <x v="3"/>
    <x v="2"/>
    <x v="0"/>
    <s v="Renovação"/>
    <n v="61593482463"/>
    <s v="61593482463"/>
    <n v="4387"/>
    <n v="1175"/>
    <n v="3212"/>
    <n v="642.40000000000009"/>
    <n v="1"/>
    <n v="4387"/>
    <x v="26"/>
    <x v="0"/>
    <d v="2022-06-01T00:00:00"/>
  </r>
  <r>
    <s v="Cliente 212"/>
    <x v="2"/>
    <x v="2"/>
    <x v="1"/>
    <s v="Novo"/>
    <n v="62343471729"/>
    <s v="62343471729"/>
    <n v="4275"/>
    <n v="0"/>
    <n v="4275"/>
    <n v="1282.5"/>
    <n v="1"/>
    <n v="4275"/>
    <x v="88"/>
    <x v="6"/>
    <d v="2022-04-01T00:00:00"/>
  </r>
  <r>
    <s v="Cliente 191"/>
    <x v="2"/>
    <x v="2"/>
    <x v="1"/>
    <s v="Novo"/>
    <n v="62485626757"/>
    <s v="62485626757"/>
    <n v="7762"/>
    <n v="0"/>
    <n v="7762"/>
    <n v="2328.6"/>
    <n v="1"/>
    <n v="7762"/>
    <x v="63"/>
    <x v="6"/>
    <d v="2022-04-01T00:00:00"/>
  </r>
  <r>
    <s v="Cliente 157"/>
    <x v="4"/>
    <x v="2"/>
    <x v="1"/>
    <s v="Novo"/>
    <n v="62850362472"/>
    <s v="62850362472"/>
    <n v="7862"/>
    <n v="0"/>
    <n v="7862"/>
    <n v="2358.6"/>
    <n v="1"/>
    <n v="7862"/>
    <x v="28"/>
    <x v="0"/>
    <d v="2022-06-01T00:00:00"/>
  </r>
  <r>
    <s v="Cliente 260"/>
    <x v="3"/>
    <x v="2"/>
    <x v="1"/>
    <s v="Novo"/>
    <n v="62947795892"/>
    <s v="62947795892"/>
    <n v="9635"/>
    <n v="0"/>
    <n v="9635"/>
    <n v="2890.5"/>
    <n v="1"/>
    <n v="9635"/>
    <x v="12"/>
    <x v="2"/>
    <d v="2022-07-01T00:00:00"/>
  </r>
  <r>
    <s v="Cliente 214"/>
    <x v="7"/>
    <x v="1"/>
    <x v="1"/>
    <s v="Novo"/>
    <n v="63191650037"/>
    <s v="63191650037"/>
    <n v="8276"/>
    <n v="0"/>
    <n v="8276"/>
    <n v="2482.7999999999997"/>
    <n v="1"/>
    <n v="8276"/>
    <x v="89"/>
    <x v="3"/>
    <d v="2022-04-01T00:00:00"/>
  </r>
  <r>
    <s v="Cliente 258"/>
    <x v="4"/>
    <x v="2"/>
    <x v="1"/>
    <s v="Novo"/>
    <n v="63204387825"/>
    <s v="63204387825"/>
    <n v="2809"/>
    <n v="0"/>
    <n v="2809"/>
    <n v="842.69999999999993"/>
    <n v="1"/>
    <n v="2809"/>
    <x v="90"/>
    <x v="8"/>
    <d v="2022-05-01T00:00:00"/>
  </r>
  <r>
    <s v="Cliente 46"/>
    <x v="6"/>
    <x v="1"/>
    <x v="1"/>
    <s v="Renovação"/>
    <n v="65117648937"/>
    <s v="65117648937"/>
    <n v="6710"/>
    <n v="3467"/>
    <n v="3243"/>
    <n v="972.9"/>
    <n v="1"/>
    <n v="6710"/>
    <x v="44"/>
    <x v="1"/>
    <d v="2022-05-01T00:00:00"/>
  </r>
  <r>
    <s v="Cliente 79"/>
    <x v="1"/>
    <x v="1"/>
    <x v="1"/>
    <s v="Renovação"/>
    <n v="65267985440"/>
    <s v="65267985440"/>
    <n v="2772"/>
    <n v="3548"/>
    <n v="0"/>
    <n v="0"/>
    <n v="1"/>
    <n v="2772"/>
    <x v="50"/>
    <x v="7"/>
    <d v="2022-07-01T00:00:00"/>
  </r>
  <r>
    <s v="Cliente 457"/>
    <x v="1"/>
    <x v="1"/>
    <x v="0"/>
    <s v="Novo"/>
    <n v="65425483723"/>
    <s v="65425483723"/>
    <n v="6811"/>
    <n v="0"/>
    <n v="6811"/>
    <n v="1362.2"/>
    <n v="1"/>
    <n v="6811"/>
    <x v="91"/>
    <x v="7"/>
    <d v="2022-07-01T00:00:00"/>
  </r>
  <r>
    <s v="Cliente 256"/>
    <x v="7"/>
    <x v="1"/>
    <x v="1"/>
    <s v="Novo"/>
    <n v="65552189484"/>
    <s v="65552189484"/>
    <n v="6113"/>
    <n v="0"/>
    <n v="6113"/>
    <n v="1833.8999999999999"/>
    <n v="1"/>
    <n v="6113"/>
    <x v="51"/>
    <x v="1"/>
    <d v="2022-05-01T00:00:00"/>
  </r>
  <r>
    <s v="Cliente 455"/>
    <x v="3"/>
    <x v="2"/>
    <x v="0"/>
    <s v="Novo"/>
    <n v="65748321003"/>
    <s v="65748321003"/>
    <n v="9599"/>
    <n v="0"/>
    <n v="9599"/>
    <n v="1919.8000000000002"/>
    <n v="1"/>
    <n v="9599"/>
    <x v="2"/>
    <x v="2"/>
    <d v="2022-07-01T00:00:00"/>
  </r>
  <r>
    <s v="Cliente 331"/>
    <x v="6"/>
    <x v="1"/>
    <x v="0"/>
    <s v="Renovação"/>
    <n v="65959835898"/>
    <s v="65959835898"/>
    <n v="4679"/>
    <n v="4804"/>
    <n v="0"/>
    <n v="0"/>
    <n v="1"/>
    <n v="4679"/>
    <x v="6"/>
    <x v="3"/>
    <d v="2022-04-01T00:00:00"/>
  </r>
  <r>
    <s v="Cliente 475"/>
    <x v="6"/>
    <x v="1"/>
    <x v="0"/>
    <s v="Novo"/>
    <n v="66017994987"/>
    <s v="66017994987"/>
    <n v="3955"/>
    <n v="0"/>
    <n v="3955"/>
    <n v="791"/>
    <n v="1"/>
    <n v="3955"/>
    <x v="13"/>
    <x v="3"/>
    <d v="2022-04-01T00:00:00"/>
  </r>
  <r>
    <s v="Cliente 594"/>
    <x v="4"/>
    <x v="2"/>
    <x v="0"/>
    <s v="Novo"/>
    <n v="66175359808"/>
    <s v="66175359808"/>
    <n v="9956"/>
    <n v="0"/>
    <n v="9956"/>
    <n v="1991.2"/>
    <n v="1"/>
    <n v="9956"/>
    <x v="63"/>
    <x v="6"/>
    <d v="2022-04-01T00:00:00"/>
  </r>
  <r>
    <s v="Cliente 279"/>
    <x v="5"/>
    <x v="0"/>
    <x v="1"/>
    <s v="Novo"/>
    <n v="66299021077"/>
    <s v="66299021077"/>
    <n v="6717"/>
    <n v="0"/>
    <n v="6717"/>
    <n v="2015.1"/>
    <n v="1"/>
    <n v="6717"/>
    <x v="46"/>
    <x v="6"/>
    <d v="2022-04-01T00:00:00"/>
  </r>
  <r>
    <s v="Cliente 90"/>
    <x v="3"/>
    <x v="2"/>
    <x v="1"/>
    <s v="Renovação"/>
    <n v="66472026623"/>
    <s v="66472026623"/>
    <n v="4344"/>
    <n v="1843"/>
    <n v="2501"/>
    <n v="750.3"/>
    <n v="1"/>
    <n v="4344"/>
    <x v="63"/>
    <x v="6"/>
    <d v="2022-04-01T00:00:00"/>
  </r>
  <r>
    <s v="Cliente 535"/>
    <x v="3"/>
    <x v="2"/>
    <x v="0"/>
    <s v="Novo"/>
    <n v="66868051070"/>
    <s v="66868051070"/>
    <n v="9988"/>
    <n v="0"/>
    <n v="9988"/>
    <n v="1997.6000000000001"/>
    <n v="1"/>
    <n v="9988"/>
    <x v="2"/>
    <x v="2"/>
    <d v="2022-07-01T00:00:00"/>
  </r>
  <r>
    <s v="Cliente 337"/>
    <x v="6"/>
    <x v="1"/>
    <x v="0"/>
    <s v="Renovação"/>
    <n v="66909179853"/>
    <s v="66909179853"/>
    <n v="7811"/>
    <n v="9292"/>
    <n v="0"/>
    <n v="0"/>
    <n v="1"/>
    <n v="7811"/>
    <x v="68"/>
    <x v="7"/>
    <d v="2022-07-01T00:00:00"/>
  </r>
  <r>
    <s v="Cliente 113"/>
    <x v="0"/>
    <x v="0"/>
    <x v="1"/>
    <s v="Renovação"/>
    <n v="66915840595"/>
    <s v="66915840595"/>
    <n v="6520"/>
    <n v="6728"/>
    <n v="0"/>
    <n v="0"/>
    <n v="1"/>
    <n v="6520"/>
    <x v="11"/>
    <x v="2"/>
    <d v="2022-07-01T00:00:00"/>
  </r>
  <r>
    <s v="Cliente 72"/>
    <x v="1"/>
    <x v="1"/>
    <x v="1"/>
    <s v="Renovação"/>
    <n v="66921477819"/>
    <s v="66921477819"/>
    <n v="6266"/>
    <n v="3546"/>
    <n v="2720"/>
    <n v="816"/>
    <n v="1"/>
    <n v="6266"/>
    <x v="6"/>
    <x v="3"/>
    <d v="2022-04-01T00:00:00"/>
  </r>
  <r>
    <s v="Cliente 262"/>
    <x v="7"/>
    <x v="1"/>
    <x v="1"/>
    <s v="Novo"/>
    <n v="67181396739"/>
    <s v="67181396739"/>
    <n v="3886"/>
    <n v="0"/>
    <n v="3886"/>
    <n v="1165.8"/>
    <n v="1"/>
    <n v="3886"/>
    <x v="66"/>
    <x v="9"/>
    <d v="2022-06-01T00:00:00"/>
  </r>
  <r>
    <s v="Cliente 330"/>
    <x v="1"/>
    <x v="1"/>
    <x v="0"/>
    <s v="Renovação"/>
    <n v="67561313790"/>
    <s v="67561313790"/>
    <n v="8604"/>
    <n v="4353"/>
    <n v="4251"/>
    <n v="850.2"/>
    <n v="1"/>
    <n v="8604"/>
    <x v="92"/>
    <x v="1"/>
    <d v="2022-05-01T00:00:00"/>
  </r>
  <r>
    <s v="Cliente 12"/>
    <x v="1"/>
    <x v="1"/>
    <x v="1"/>
    <s v="Renovação"/>
    <n v="67563233991"/>
    <s v="67563233991"/>
    <n v="7785"/>
    <n v="4881"/>
    <n v="2904"/>
    <n v="871.19999999999993"/>
    <n v="1"/>
    <n v="7785"/>
    <x v="80"/>
    <x v="7"/>
    <d v="2022-07-01T00:00:00"/>
  </r>
  <r>
    <s v="Cliente 494"/>
    <x v="4"/>
    <x v="2"/>
    <x v="0"/>
    <s v="Novo"/>
    <n v="67713493337"/>
    <s v="67713493337"/>
    <n v="1771"/>
    <n v="0"/>
    <n v="1771"/>
    <n v="354.20000000000005"/>
    <n v="1"/>
    <n v="1771"/>
    <x v="93"/>
    <x v="0"/>
    <d v="2022-06-01T00:00:00"/>
  </r>
  <r>
    <s v="Cliente 519"/>
    <x v="3"/>
    <x v="2"/>
    <x v="0"/>
    <s v="Novo"/>
    <n v="68035282558"/>
    <s v="68035282558"/>
    <n v="9178"/>
    <n v="0"/>
    <n v="9178"/>
    <n v="1835.6000000000001"/>
    <n v="1"/>
    <n v="9178"/>
    <x v="94"/>
    <x v="6"/>
    <d v="2022-04-01T00:00:00"/>
  </r>
  <r>
    <s v="Cliente 296"/>
    <x v="0"/>
    <x v="0"/>
    <x v="1"/>
    <s v="Novo"/>
    <n v="68931097764"/>
    <s v="68931097764"/>
    <n v="4608"/>
    <n v="0"/>
    <n v="4608"/>
    <n v="1382.3999999999999"/>
    <n v="1"/>
    <n v="4608"/>
    <x v="24"/>
    <x v="0"/>
    <d v="2022-06-01T00:00:00"/>
  </r>
  <r>
    <s v="Cliente 405"/>
    <x v="0"/>
    <x v="0"/>
    <x v="0"/>
    <s v="Renovação"/>
    <n v="69717807793"/>
    <s v="69717807793"/>
    <n v="4732"/>
    <n v="8564"/>
    <n v="0"/>
    <n v="0"/>
    <n v="1"/>
    <n v="4732"/>
    <x v="78"/>
    <x v="8"/>
    <d v="2022-05-01T00:00:00"/>
  </r>
  <r>
    <s v="Cliente 216"/>
    <x v="2"/>
    <x v="2"/>
    <x v="1"/>
    <s v="Novo"/>
    <n v="69745639834"/>
    <s v="69745639834"/>
    <n v="7511"/>
    <n v="0"/>
    <n v="7511"/>
    <n v="2253.2999999999997"/>
    <n v="1"/>
    <n v="7511"/>
    <x v="73"/>
    <x v="2"/>
    <d v="2022-07-01T00:00:00"/>
  </r>
  <r>
    <s v="Cliente 595"/>
    <x v="6"/>
    <x v="1"/>
    <x v="0"/>
    <s v="Novo"/>
    <n v="70016533261"/>
    <s v="70016533261"/>
    <n v="8925"/>
    <n v="0"/>
    <n v="8925"/>
    <n v="1785"/>
    <n v="1"/>
    <n v="8925"/>
    <x v="94"/>
    <x v="3"/>
    <d v="2022-04-01T00:00:00"/>
  </r>
  <r>
    <s v="Cliente 323"/>
    <x v="7"/>
    <x v="1"/>
    <x v="0"/>
    <s v="Renovação"/>
    <n v="70292554263"/>
    <s v="70292554263"/>
    <n v="5656"/>
    <n v="6869"/>
    <n v="0"/>
    <n v="0"/>
    <n v="1"/>
    <n v="5656"/>
    <x v="27"/>
    <x v="1"/>
    <d v="2022-05-01T00:00:00"/>
  </r>
  <r>
    <s v="Cliente 285"/>
    <x v="6"/>
    <x v="1"/>
    <x v="1"/>
    <s v="Novo"/>
    <n v="70854336178"/>
    <s v="70854336178"/>
    <n v="9861"/>
    <n v="0"/>
    <n v="9861"/>
    <n v="2958.2999999999997"/>
    <n v="1"/>
    <n v="9861"/>
    <x v="28"/>
    <x v="9"/>
    <d v="2022-06-01T00:00:00"/>
  </r>
  <r>
    <s v="Cliente 82"/>
    <x v="1"/>
    <x v="1"/>
    <x v="1"/>
    <s v="Renovação"/>
    <n v="70934712060"/>
    <s v="70934712060"/>
    <n v="6527"/>
    <n v="4399"/>
    <n v="2128"/>
    <n v="0"/>
    <n v="0"/>
    <n v="0"/>
    <x v="10"/>
    <x v="4"/>
    <b v="0"/>
  </r>
  <r>
    <s v="Cliente 373"/>
    <x v="5"/>
    <x v="0"/>
    <x v="0"/>
    <s v="Renovação"/>
    <n v="71164518364"/>
    <s v="71164518364"/>
    <n v="6863"/>
    <n v="9022"/>
    <n v="0"/>
    <n v="0"/>
    <n v="1"/>
    <n v="6863"/>
    <x v="95"/>
    <x v="8"/>
    <d v="2022-05-01T00:00:00"/>
  </r>
  <r>
    <s v="Cliente 464"/>
    <x v="0"/>
    <x v="0"/>
    <x v="0"/>
    <s v="Novo"/>
    <n v="71329764015"/>
    <s v="71329764015"/>
    <n v="7386"/>
    <n v="0"/>
    <n v="7386"/>
    <n v="1477.2"/>
    <n v="1"/>
    <n v="7386"/>
    <x v="76"/>
    <x v="8"/>
    <d v="2022-05-01T00:00:00"/>
  </r>
  <r>
    <s v="Cliente 125"/>
    <x v="4"/>
    <x v="2"/>
    <x v="1"/>
    <s v="Renovação"/>
    <n v="71466586126"/>
    <s v="71466586126"/>
    <n v="2199"/>
    <n v="1971"/>
    <n v="228"/>
    <n v="68.399999999999991"/>
    <n v="1"/>
    <n v="2199"/>
    <x v="96"/>
    <x v="8"/>
    <d v="2022-05-01T00:00:00"/>
  </r>
  <r>
    <s v="Cliente 298"/>
    <x v="2"/>
    <x v="2"/>
    <x v="1"/>
    <s v="Novo"/>
    <n v="71566720797"/>
    <s v="71566720797"/>
    <n v="5708"/>
    <n v="0"/>
    <n v="5708"/>
    <n v="1712.3999999999999"/>
    <n v="1"/>
    <n v="5708"/>
    <x v="8"/>
    <x v="6"/>
    <d v="2022-04-01T00:00:00"/>
  </r>
  <r>
    <s v="Cliente 572"/>
    <x v="1"/>
    <x v="1"/>
    <x v="0"/>
    <s v="Novo"/>
    <n v="71742791566"/>
    <s v="71742791566"/>
    <n v="7020"/>
    <n v="0"/>
    <n v="7020"/>
    <n v="1404"/>
    <n v="1"/>
    <n v="7020"/>
    <x v="30"/>
    <x v="9"/>
    <d v="2022-06-01T00:00:00"/>
  </r>
  <r>
    <s v="Cliente 601"/>
    <x v="0"/>
    <x v="0"/>
    <x v="0"/>
    <s v="Novo"/>
    <n v="71897943376"/>
    <s v="71897943376"/>
    <n v="2970"/>
    <n v="0"/>
    <n v="2970"/>
    <n v="594"/>
    <n v="1"/>
    <n v="2970"/>
    <x v="30"/>
    <x v="0"/>
    <d v="2022-06-01T00:00:00"/>
  </r>
  <r>
    <s v="Cliente 592"/>
    <x v="7"/>
    <x v="1"/>
    <x v="0"/>
    <s v="Novo"/>
    <n v="72001804987"/>
    <s v="72001804987"/>
    <n v="3359"/>
    <n v="0"/>
    <n v="3359"/>
    <n v="671.80000000000007"/>
    <n v="1"/>
    <n v="3359"/>
    <x v="57"/>
    <x v="1"/>
    <d v="2022-05-01T00:00:00"/>
  </r>
  <r>
    <s v="Cliente 565"/>
    <x v="4"/>
    <x v="2"/>
    <x v="0"/>
    <s v="Novo"/>
    <n v="72002224773"/>
    <s v="72002224773"/>
    <n v="7423"/>
    <n v="0"/>
    <n v="7423"/>
    <n v="1484.6000000000001"/>
    <n v="1"/>
    <n v="7423"/>
    <x v="83"/>
    <x v="0"/>
    <d v="2022-06-01T00:00:00"/>
  </r>
  <r>
    <s v="Cliente 64"/>
    <x v="6"/>
    <x v="1"/>
    <x v="1"/>
    <s v="Renovação"/>
    <n v="72364877592"/>
    <s v="72364877592"/>
    <n v="5758"/>
    <n v="5863"/>
    <n v="0"/>
    <n v="0"/>
    <n v="1"/>
    <n v="5758"/>
    <x v="97"/>
    <x v="9"/>
    <d v="2022-06-01T00:00:00"/>
  </r>
  <r>
    <s v="Cliente 247"/>
    <x v="1"/>
    <x v="1"/>
    <x v="1"/>
    <s v="Novo"/>
    <n v="72374777914"/>
    <s v="72374777914"/>
    <n v="7389"/>
    <n v="0"/>
    <n v="7389"/>
    <n v="2216.6999999999998"/>
    <n v="1"/>
    <n v="7389"/>
    <x v="65"/>
    <x v="3"/>
    <d v="2022-04-01T00:00:00"/>
  </r>
  <r>
    <s v="Cliente 151"/>
    <x v="5"/>
    <x v="0"/>
    <x v="1"/>
    <s v="Renovação"/>
    <n v="72565871307"/>
    <s v="72565871307"/>
    <n v="1251"/>
    <n v="1383"/>
    <n v="0"/>
    <n v="0"/>
    <n v="0"/>
    <n v="0"/>
    <x v="10"/>
    <x v="5"/>
    <b v="0"/>
  </r>
  <r>
    <s v="Cliente 11"/>
    <x v="4"/>
    <x v="2"/>
    <x v="1"/>
    <s v="Renovação"/>
    <n v="72642874240"/>
    <s v="72642874240"/>
    <n v="8349"/>
    <n v="8525"/>
    <n v="0"/>
    <n v="0"/>
    <n v="0"/>
    <n v="0"/>
    <x v="10"/>
    <x v="5"/>
    <b v="0"/>
  </r>
  <r>
    <s v="Cliente 168"/>
    <x v="0"/>
    <x v="0"/>
    <x v="1"/>
    <s v="Novo"/>
    <n v="72985861489"/>
    <s v="72985861489"/>
    <n v="1326"/>
    <n v="0"/>
    <n v="1326"/>
    <n v="397.8"/>
    <n v="1"/>
    <n v="1326"/>
    <x v="13"/>
    <x v="6"/>
    <d v="2022-04-01T00:00:00"/>
  </r>
  <r>
    <s v="Cliente 532"/>
    <x v="6"/>
    <x v="1"/>
    <x v="0"/>
    <s v="Novo"/>
    <n v="73364083091"/>
    <s v="73364083091"/>
    <n v="6396"/>
    <n v="0"/>
    <n v="6396"/>
    <n v="1279.2"/>
    <n v="1"/>
    <n v="6396"/>
    <x v="65"/>
    <x v="3"/>
    <d v="2022-04-01T00:00:00"/>
  </r>
  <r>
    <s v="Cliente 164"/>
    <x v="7"/>
    <x v="1"/>
    <x v="1"/>
    <s v="Novo"/>
    <n v="73443305972"/>
    <s v="73443305972"/>
    <n v="1197"/>
    <n v="0"/>
    <n v="1197"/>
    <n v="359.09999999999997"/>
    <n v="1"/>
    <n v="1197"/>
    <x v="97"/>
    <x v="9"/>
    <d v="2022-06-01T00:00:00"/>
  </r>
  <r>
    <s v="Cliente 365"/>
    <x v="7"/>
    <x v="1"/>
    <x v="0"/>
    <s v="Renovação"/>
    <n v="73820522983"/>
    <s v="73820522983"/>
    <n v="7136"/>
    <n v="6676"/>
    <n v="460"/>
    <n v="92"/>
    <n v="1"/>
    <n v="7136"/>
    <x v="98"/>
    <x v="3"/>
    <d v="2022-04-01T00:00:00"/>
  </r>
  <r>
    <s v="Cliente 443"/>
    <x v="7"/>
    <x v="1"/>
    <x v="0"/>
    <s v="Renovação"/>
    <n v="74680883174"/>
    <s v="74680883174"/>
    <n v="9131"/>
    <n v="1263"/>
    <n v="7868"/>
    <n v="1573.6000000000001"/>
    <n v="1"/>
    <n v="9131"/>
    <x v="72"/>
    <x v="3"/>
    <d v="2022-04-01T00:00:00"/>
  </r>
  <r>
    <s v="Cliente 43"/>
    <x v="5"/>
    <x v="0"/>
    <x v="1"/>
    <s v="Renovação"/>
    <n v="74744535315"/>
    <s v="74744535315"/>
    <n v="3485"/>
    <n v="5391"/>
    <n v="0"/>
    <n v="0"/>
    <n v="0"/>
    <n v="0"/>
    <x v="10"/>
    <x v="5"/>
    <b v="0"/>
  </r>
  <r>
    <s v="Cliente 332"/>
    <x v="6"/>
    <x v="1"/>
    <x v="0"/>
    <s v="Renovação"/>
    <n v="74806657227"/>
    <s v="74806657227"/>
    <n v="4644"/>
    <n v="9339"/>
    <n v="0"/>
    <n v="0"/>
    <n v="1"/>
    <n v="4644"/>
    <x v="2"/>
    <x v="7"/>
    <d v="2022-07-01T00:00:00"/>
  </r>
  <r>
    <s v="Cliente 70"/>
    <x v="1"/>
    <x v="1"/>
    <x v="1"/>
    <s v="Renovação"/>
    <n v="74903640390"/>
    <s v="74903640390"/>
    <n v="1910"/>
    <n v="4072"/>
    <n v="0"/>
    <n v="0"/>
    <n v="1"/>
    <n v="1910"/>
    <x v="74"/>
    <x v="1"/>
    <d v="2022-05-01T00:00:00"/>
  </r>
  <r>
    <s v="Cliente 530"/>
    <x v="7"/>
    <x v="1"/>
    <x v="0"/>
    <s v="Novo"/>
    <n v="75131787960"/>
    <s v="75131787960"/>
    <n v="9723"/>
    <n v="0"/>
    <n v="9723"/>
    <n v="1944.6000000000001"/>
    <n v="1"/>
    <n v="9723"/>
    <x v="15"/>
    <x v="1"/>
    <d v="2022-05-01T00:00:00"/>
  </r>
  <r>
    <s v="Cliente 223"/>
    <x v="1"/>
    <x v="1"/>
    <x v="1"/>
    <s v="Novo"/>
    <n v="75175476786"/>
    <s v="75175476786"/>
    <n v="8443"/>
    <n v="0"/>
    <n v="8443"/>
    <n v="2532.9"/>
    <n v="1"/>
    <n v="8443"/>
    <x v="99"/>
    <x v="9"/>
    <d v="2022-06-01T00:00:00"/>
  </r>
  <r>
    <s v="Cliente 38"/>
    <x v="7"/>
    <x v="1"/>
    <x v="1"/>
    <s v="Renovação"/>
    <n v="75252280913"/>
    <s v="75252280913"/>
    <n v="1242"/>
    <n v="3588"/>
    <n v="0"/>
    <n v="0"/>
    <n v="1"/>
    <n v="1242"/>
    <x v="6"/>
    <x v="3"/>
    <d v="2022-04-01T00:00:00"/>
  </r>
  <r>
    <s v="Cliente 183"/>
    <x v="5"/>
    <x v="0"/>
    <x v="1"/>
    <s v="Novo"/>
    <n v="75630002663"/>
    <s v="75630002663"/>
    <n v="3565"/>
    <n v="0"/>
    <n v="3565"/>
    <n v="1069.5"/>
    <n v="1"/>
    <n v="3565"/>
    <x v="100"/>
    <x v="8"/>
    <d v="2022-05-01T00:00:00"/>
  </r>
  <r>
    <s v="Cliente 238"/>
    <x v="0"/>
    <x v="0"/>
    <x v="1"/>
    <s v="Novo"/>
    <n v="75945832948"/>
    <s v="75945832948"/>
    <n v="7140"/>
    <n v="0"/>
    <n v="7140"/>
    <n v="2142"/>
    <n v="1"/>
    <n v="7140"/>
    <x v="40"/>
    <x v="6"/>
    <d v="2022-04-01T00:00:00"/>
  </r>
  <r>
    <s v="Cliente 458"/>
    <x v="5"/>
    <x v="0"/>
    <x v="0"/>
    <s v="Novo"/>
    <n v="76405264483"/>
    <s v="76405264483"/>
    <n v="6059"/>
    <n v="0"/>
    <n v="6059"/>
    <n v="1211.8"/>
    <n v="1"/>
    <n v="6059"/>
    <x v="29"/>
    <x v="0"/>
    <d v="2022-06-01T00:00:00"/>
  </r>
  <r>
    <s v="Cliente 552"/>
    <x v="3"/>
    <x v="2"/>
    <x v="0"/>
    <s v="Novo"/>
    <n v="76514001923"/>
    <s v="76514001923"/>
    <n v="4553"/>
    <n v="0"/>
    <n v="4553"/>
    <n v="910.6"/>
    <n v="1"/>
    <n v="4553"/>
    <x v="89"/>
    <x v="6"/>
    <d v="2022-04-01T00:00:00"/>
  </r>
  <r>
    <s v="Cliente 354"/>
    <x v="5"/>
    <x v="0"/>
    <x v="0"/>
    <s v="Renovação"/>
    <n v="76720670292"/>
    <s v="76720670292"/>
    <n v="8117"/>
    <n v="3295"/>
    <n v="4822"/>
    <n v="964.40000000000009"/>
    <n v="1"/>
    <n v="8117"/>
    <x v="5"/>
    <x v="2"/>
    <d v="2022-07-01T00:00:00"/>
  </r>
  <r>
    <s v="Cliente 257"/>
    <x v="1"/>
    <x v="1"/>
    <x v="1"/>
    <s v="Novo"/>
    <n v="77192589467"/>
    <s v="77192589467"/>
    <n v="2668"/>
    <n v="0"/>
    <n v="2668"/>
    <n v="800.4"/>
    <n v="1"/>
    <n v="2668"/>
    <x v="46"/>
    <x v="3"/>
    <d v="2022-04-01T00:00:00"/>
  </r>
  <r>
    <s v="Cliente 69"/>
    <x v="5"/>
    <x v="0"/>
    <x v="1"/>
    <s v="Renovação"/>
    <n v="77504386209"/>
    <s v="77504386209"/>
    <n v="7083"/>
    <n v="1725"/>
    <n v="5358"/>
    <n v="1607.3999999999999"/>
    <n v="1"/>
    <n v="7083"/>
    <x v="12"/>
    <x v="2"/>
    <d v="2022-07-01T00:00:00"/>
  </r>
  <r>
    <s v="Cliente 541"/>
    <x v="2"/>
    <x v="2"/>
    <x v="0"/>
    <s v="Novo"/>
    <n v="78082982354"/>
    <s v="78082982354"/>
    <n v="3309"/>
    <n v="0"/>
    <n v="3309"/>
    <n v="661.80000000000007"/>
    <n v="1"/>
    <n v="3309"/>
    <x v="17"/>
    <x v="2"/>
    <d v="2022-07-01T00:00:00"/>
  </r>
  <r>
    <s v="Cliente 134"/>
    <x v="4"/>
    <x v="2"/>
    <x v="1"/>
    <s v="Renovação"/>
    <n v="78221043892"/>
    <s v="78221043892"/>
    <n v="4615"/>
    <n v="3341"/>
    <n v="1274"/>
    <n v="382.2"/>
    <n v="1"/>
    <n v="4615"/>
    <x v="34"/>
    <x v="8"/>
    <d v="2022-05-01T00:00:00"/>
  </r>
  <r>
    <s v="Cliente 101"/>
    <x v="0"/>
    <x v="0"/>
    <x v="1"/>
    <s v="Renovação"/>
    <n v="78275587932"/>
    <s v="78275587932"/>
    <n v="7472"/>
    <n v="4501"/>
    <n v="2971"/>
    <n v="891.3"/>
    <n v="1"/>
    <n v="7472"/>
    <x v="101"/>
    <x v="0"/>
    <d v="2022-06-01T00:00:00"/>
  </r>
  <r>
    <s v="Cliente 241"/>
    <x v="1"/>
    <x v="1"/>
    <x v="1"/>
    <s v="Novo"/>
    <n v="78775444289"/>
    <s v="78775444289"/>
    <n v="7642"/>
    <n v="0"/>
    <n v="7642"/>
    <n v="2292.6"/>
    <n v="1"/>
    <n v="7642"/>
    <x v="102"/>
    <x v="9"/>
    <d v="2022-06-01T00:00:00"/>
  </r>
  <r>
    <s v="Cliente 441"/>
    <x v="5"/>
    <x v="0"/>
    <x v="0"/>
    <s v="Renovação"/>
    <n v="79641009184"/>
    <s v="79641009184"/>
    <n v="3686"/>
    <n v="8125"/>
    <n v="0"/>
    <n v="0"/>
    <n v="1"/>
    <n v="3686"/>
    <x v="103"/>
    <x v="8"/>
    <d v="2022-05-01T00:00:00"/>
  </r>
  <r>
    <s v="Cliente 539"/>
    <x v="0"/>
    <x v="0"/>
    <x v="0"/>
    <s v="Novo"/>
    <n v="79801580959"/>
    <s v="79801580959"/>
    <n v="3492"/>
    <n v="0"/>
    <n v="3492"/>
    <n v="698.40000000000009"/>
    <n v="1"/>
    <n v="3492"/>
    <x v="3"/>
    <x v="2"/>
    <d v="2022-07-01T00:00:00"/>
  </r>
  <r>
    <s v="Cliente 159"/>
    <x v="4"/>
    <x v="2"/>
    <x v="1"/>
    <s v="Novo"/>
    <n v="79887504102"/>
    <s v="79887504102"/>
    <n v="3692"/>
    <n v="0"/>
    <n v="3692"/>
    <n v="1107.5999999999999"/>
    <n v="1"/>
    <n v="3692"/>
    <x v="8"/>
    <x v="6"/>
    <d v="2022-04-01T00:00:00"/>
  </r>
  <r>
    <s v="Cliente 270"/>
    <x v="3"/>
    <x v="2"/>
    <x v="1"/>
    <s v="Novo"/>
    <n v="79922187142"/>
    <s v="79922187142"/>
    <n v="3522"/>
    <n v="0"/>
    <n v="3522"/>
    <n v="1056.5999999999999"/>
    <n v="1"/>
    <n v="3522"/>
    <x v="82"/>
    <x v="8"/>
    <d v="2022-05-01T00:00:00"/>
  </r>
  <r>
    <s v="Cliente 111"/>
    <x v="5"/>
    <x v="0"/>
    <x v="1"/>
    <s v="Renovação"/>
    <n v="80003320940"/>
    <s v="80003320940"/>
    <n v="8172"/>
    <n v="6615"/>
    <n v="1557"/>
    <n v="467.09999999999997"/>
    <n v="1"/>
    <n v="8172"/>
    <x v="69"/>
    <x v="8"/>
    <d v="2022-05-01T00:00:00"/>
  </r>
  <r>
    <s v="Cliente 568"/>
    <x v="5"/>
    <x v="0"/>
    <x v="0"/>
    <s v="Novo"/>
    <n v="80138432046"/>
    <s v="80138432046"/>
    <n v="9785"/>
    <n v="0"/>
    <n v="9785"/>
    <n v="1957"/>
    <n v="1"/>
    <n v="9785"/>
    <x v="100"/>
    <x v="8"/>
    <d v="2022-05-01T00:00:00"/>
  </r>
  <r>
    <s v="Cliente 86"/>
    <x v="2"/>
    <x v="2"/>
    <x v="1"/>
    <s v="Renovação"/>
    <n v="80449418694"/>
    <s v="80449418694"/>
    <n v="7009"/>
    <n v="9444"/>
    <n v="0"/>
    <n v="0"/>
    <n v="0"/>
    <n v="0"/>
    <x v="10"/>
    <x v="5"/>
    <b v="0"/>
  </r>
  <r>
    <s v="Cliente 77"/>
    <x v="1"/>
    <x v="1"/>
    <x v="1"/>
    <s v="Renovação"/>
    <n v="80792760458"/>
    <s v="80792760458"/>
    <n v="5189"/>
    <n v="6308"/>
    <n v="0"/>
    <n v="0"/>
    <n v="1"/>
    <n v="5189"/>
    <x v="13"/>
    <x v="3"/>
    <d v="2022-04-01T00:00:00"/>
  </r>
  <r>
    <s v="Cliente 527"/>
    <x v="0"/>
    <x v="0"/>
    <x v="0"/>
    <s v="Novo"/>
    <n v="81972584211"/>
    <s v="81972584211"/>
    <n v="6764"/>
    <n v="0"/>
    <n v="6764"/>
    <n v="1352.8000000000002"/>
    <n v="1"/>
    <n v="6764"/>
    <x v="75"/>
    <x v="0"/>
    <d v="2022-06-01T00:00:00"/>
  </r>
  <r>
    <s v="Cliente 346"/>
    <x v="2"/>
    <x v="2"/>
    <x v="0"/>
    <s v="Renovação"/>
    <n v="82188162592"/>
    <s v="82188162592"/>
    <n v="4745"/>
    <n v="4321"/>
    <n v="424"/>
    <n v="84.800000000000011"/>
    <n v="1"/>
    <n v="4745"/>
    <x v="95"/>
    <x v="8"/>
    <d v="2022-05-01T00:00:00"/>
  </r>
  <r>
    <s v="Cliente 589"/>
    <x v="6"/>
    <x v="1"/>
    <x v="0"/>
    <s v="Novo"/>
    <n v="82597834298"/>
    <s v="82597834298"/>
    <n v="2055"/>
    <n v="0"/>
    <n v="2055"/>
    <n v="411"/>
    <n v="1"/>
    <n v="2055"/>
    <x v="84"/>
    <x v="3"/>
    <d v="2022-04-01T00:00:00"/>
  </r>
  <r>
    <s v="Cliente 561"/>
    <x v="7"/>
    <x v="1"/>
    <x v="0"/>
    <s v="Novo"/>
    <n v="82718945895"/>
    <s v="82718945895"/>
    <n v="9739"/>
    <n v="0"/>
    <n v="9739"/>
    <n v="1947.8000000000002"/>
    <n v="1"/>
    <n v="9739"/>
    <x v="104"/>
    <x v="3"/>
    <d v="2022-04-01T00:00:00"/>
  </r>
  <r>
    <s v="Cliente 266"/>
    <x v="5"/>
    <x v="0"/>
    <x v="1"/>
    <s v="Novo"/>
    <n v="83433289595"/>
    <s v="83433289595"/>
    <n v="9784"/>
    <n v="0"/>
    <n v="9784"/>
    <n v="2935.2"/>
    <n v="1"/>
    <n v="9784"/>
    <x v="25"/>
    <x v="0"/>
    <d v="2022-06-01T00:00:00"/>
  </r>
  <r>
    <s v="Cliente 153"/>
    <x v="4"/>
    <x v="2"/>
    <x v="1"/>
    <s v="Novo"/>
    <n v="83578565396"/>
    <s v="83578565396"/>
    <n v="8753"/>
    <n v="0"/>
    <n v="8753"/>
    <n v="2625.9"/>
    <n v="1"/>
    <n v="8753"/>
    <x v="14"/>
    <x v="2"/>
    <d v="2022-07-01T00:00:00"/>
  </r>
  <r>
    <s v="Cliente 114"/>
    <x v="1"/>
    <x v="1"/>
    <x v="1"/>
    <s v="Renovação"/>
    <n v="84319694697"/>
    <s v="84319694697"/>
    <n v="6807"/>
    <n v="8035"/>
    <n v="0"/>
    <n v="0"/>
    <n v="1"/>
    <n v="6807"/>
    <x v="92"/>
    <x v="1"/>
    <d v="2022-05-01T00:00:00"/>
  </r>
  <r>
    <s v="Cliente 358"/>
    <x v="7"/>
    <x v="1"/>
    <x v="0"/>
    <s v="Renovação"/>
    <n v="84322523309"/>
    <s v="84322523309"/>
    <n v="8605"/>
    <n v="7141"/>
    <n v="1464"/>
    <n v="292.8"/>
    <n v="1"/>
    <n v="8605"/>
    <x v="73"/>
    <x v="7"/>
    <d v="2022-07-01T00:00:00"/>
  </r>
  <r>
    <s v="Cliente 246"/>
    <x v="5"/>
    <x v="0"/>
    <x v="1"/>
    <s v="Novo"/>
    <n v="84349534756"/>
    <s v="84349534756"/>
    <n v="3212"/>
    <n v="0"/>
    <n v="3212"/>
    <n v="963.59999999999991"/>
    <n v="1"/>
    <n v="3212"/>
    <x v="20"/>
    <x v="0"/>
    <d v="2022-06-01T00:00:00"/>
  </r>
  <r>
    <s v="Cliente 506"/>
    <x v="3"/>
    <x v="2"/>
    <x v="0"/>
    <s v="Novo"/>
    <n v="85680328509"/>
    <s v="85680328509"/>
    <n v="6585"/>
    <n v="0"/>
    <n v="6585"/>
    <n v="1317"/>
    <n v="1"/>
    <n v="6585"/>
    <x v="26"/>
    <x v="0"/>
    <d v="2022-06-01T00:00:00"/>
  </r>
  <r>
    <s v="Cliente 222"/>
    <x v="5"/>
    <x v="0"/>
    <x v="1"/>
    <s v="Novo"/>
    <n v="85759860825"/>
    <s v="85759860825"/>
    <n v="4703"/>
    <n v="0"/>
    <n v="4703"/>
    <n v="1410.8999999999999"/>
    <n v="1"/>
    <n v="4703"/>
    <x v="22"/>
    <x v="8"/>
    <d v="2022-05-01T00:00:00"/>
  </r>
  <r>
    <s v="Cliente 284"/>
    <x v="2"/>
    <x v="2"/>
    <x v="1"/>
    <s v="Novo"/>
    <n v="86024052075"/>
    <s v="86024052075"/>
    <n v="5484"/>
    <n v="0"/>
    <n v="5484"/>
    <n v="1645.2"/>
    <n v="1"/>
    <n v="5484"/>
    <x v="19"/>
    <x v="8"/>
    <d v="2022-05-01T00:00:00"/>
  </r>
  <r>
    <s v="Cliente 249"/>
    <x v="4"/>
    <x v="2"/>
    <x v="1"/>
    <s v="Novo"/>
    <n v="86075504999"/>
    <s v="86075504999"/>
    <n v="1710"/>
    <n v="0"/>
    <n v="1710"/>
    <n v="513"/>
    <n v="1"/>
    <n v="1710"/>
    <x v="6"/>
    <x v="6"/>
    <d v="2022-04-01T00:00:00"/>
  </r>
  <r>
    <s v="Cliente 383"/>
    <x v="5"/>
    <x v="0"/>
    <x v="0"/>
    <s v="Renovação"/>
    <n v="86088885942"/>
    <s v="86088885942"/>
    <n v="3846"/>
    <n v="4447"/>
    <n v="0"/>
    <n v="0"/>
    <n v="1"/>
    <n v="3846"/>
    <x v="99"/>
    <x v="0"/>
    <d v="2022-06-01T00:00:00"/>
  </r>
  <r>
    <s v="Cliente 314"/>
    <x v="5"/>
    <x v="0"/>
    <x v="0"/>
    <s v="Renovação"/>
    <n v="86381483585"/>
    <s v="86381483585"/>
    <n v="3013"/>
    <n v="9402"/>
    <n v="0"/>
    <n v="0"/>
    <n v="1"/>
    <n v="3013"/>
    <x v="19"/>
    <x v="8"/>
    <d v="2022-05-01T00:00:00"/>
  </r>
  <r>
    <s v="Cliente 378"/>
    <x v="5"/>
    <x v="0"/>
    <x v="0"/>
    <s v="Renovação"/>
    <n v="86570872260"/>
    <s v="86570872260"/>
    <n v="9709"/>
    <n v="3377"/>
    <n v="6332"/>
    <n v="1266.4000000000001"/>
    <n v="1"/>
    <n v="9709"/>
    <x v="33"/>
    <x v="2"/>
    <d v="2022-07-01T00:00:00"/>
  </r>
  <r>
    <s v="Cliente 292"/>
    <x v="0"/>
    <x v="0"/>
    <x v="1"/>
    <s v="Novo"/>
    <n v="86779003549"/>
    <s v="86779003549"/>
    <n v="6616"/>
    <n v="0"/>
    <n v="6616"/>
    <n v="1984.8"/>
    <n v="1"/>
    <n v="6616"/>
    <x v="79"/>
    <x v="6"/>
    <d v="2022-04-01T00:00:00"/>
  </r>
  <r>
    <s v="Cliente 566"/>
    <x v="2"/>
    <x v="2"/>
    <x v="0"/>
    <s v="Novo"/>
    <n v="87510836864"/>
    <s v="87510836864"/>
    <n v="7787"/>
    <n v="0"/>
    <n v="7787"/>
    <n v="1557.4"/>
    <n v="1"/>
    <n v="7787"/>
    <x v="38"/>
    <x v="6"/>
    <d v="2022-04-01T00:00:00"/>
  </r>
  <r>
    <s v="Cliente 172"/>
    <x v="2"/>
    <x v="2"/>
    <x v="1"/>
    <s v="Novo"/>
    <n v="87613711446"/>
    <s v="87613711446"/>
    <n v="2858"/>
    <n v="0"/>
    <n v="2858"/>
    <n v="857.4"/>
    <n v="1"/>
    <n v="2858"/>
    <x v="19"/>
    <x v="8"/>
    <d v="2022-05-01T00:00:00"/>
  </r>
  <r>
    <s v="Cliente 317"/>
    <x v="1"/>
    <x v="1"/>
    <x v="0"/>
    <s v="Renovação"/>
    <n v="88167700339"/>
    <s v="88167700339"/>
    <n v="2183"/>
    <n v="4415"/>
    <n v="0"/>
    <n v="0"/>
    <n v="1"/>
    <n v="2183"/>
    <x v="3"/>
    <x v="7"/>
    <d v="2022-07-01T00:00:00"/>
  </r>
  <r>
    <s v="Cliente 34"/>
    <x v="4"/>
    <x v="2"/>
    <x v="1"/>
    <s v="Renovação"/>
    <n v="88355096302"/>
    <s v="88355096302"/>
    <n v="5208"/>
    <n v="2383"/>
    <n v="2825"/>
    <n v="0"/>
    <n v="0"/>
    <n v="0"/>
    <x v="10"/>
    <x v="5"/>
    <b v="0"/>
  </r>
  <r>
    <s v="Cliente 353"/>
    <x v="0"/>
    <x v="0"/>
    <x v="0"/>
    <s v="Renovação"/>
    <n v="88369933883"/>
    <s v="88369933883"/>
    <n v="5451"/>
    <n v="6797"/>
    <n v="0"/>
    <n v="0"/>
    <n v="1"/>
    <n v="5451"/>
    <x v="27"/>
    <x v="8"/>
    <d v="2022-05-01T00:00:00"/>
  </r>
  <r>
    <s v="Cliente 98"/>
    <x v="0"/>
    <x v="0"/>
    <x v="1"/>
    <s v="Renovação"/>
    <n v="88768619497"/>
    <s v="88768619497"/>
    <n v="7556"/>
    <n v="1301"/>
    <n v="6255"/>
    <n v="1876.5"/>
    <n v="1"/>
    <n v="7556"/>
    <x v="80"/>
    <x v="2"/>
    <d v="2022-07-01T00:00:00"/>
  </r>
  <r>
    <s v="Cliente 484"/>
    <x v="3"/>
    <x v="2"/>
    <x v="0"/>
    <s v="Novo"/>
    <n v="88904404144"/>
    <s v="88904404144"/>
    <n v="9274"/>
    <n v="0"/>
    <n v="9274"/>
    <n v="1854.8000000000002"/>
    <n v="1"/>
    <n v="9274"/>
    <x v="4"/>
    <x v="2"/>
    <d v="2022-07-01T00:00:00"/>
  </r>
  <r>
    <s v="Cliente 515"/>
    <x v="0"/>
    <x v="0"/>
    <x v="0"/>
    <s v="Novo"/>
    <n v="89126935150"/>
    <s v="89126935150"/>
    <n v="7776"/>
    <n v="0"/>
    <n v="7776"/>
    <n v="1555.2"/>
    <n v="1"/>
    <n v="7776"/>
    <x v="93"/>
    <x v="0"/>
    <d v="2022-06-01T00:00:00"/>
  </r>
  <r>
    <s v="Cliente 123"/>
    <x v="3"/>
    <x v="2"/>
    <x v="1"/>
    <s v="Renovação"/>
    <n v="89217559216"/>
    <s v="89217559216"/>
    <n v="9893"/>
    <n v="6925"/>
    <n v="2968"/>
    <n v="0"/>
    <n v="0"/>
    <n v="0"/>
    <x v="10"/>
    <x v="5"/>
    <b v="0"/>
  </r>
  <r>
    <s v="Cliente 193"/>
    <x v="6"/>
    <x v="1"/>
    <x v="1"/>
    <s v="Novo"/>
    <n v="89531735285"/>
    <s v="89531735285"/>
    <n v="5151"/>
    <n v="0"/>
    <n v="5151"/>
    <n v="1545.3"/>
    <n v="1"/>
    <n v="5151"/>
    <x v="74"/>
    <x v="1"/>
    <d v="2022-05-01T00:00:00"/>
  </r>
  <r>
    <s v="Cliente 486"/>
    <x v="2"/>
    <x v="2"/>
    <x v="0"/>
    <s v="Novo"/>
    <n v="89936570556"/>
    <s v="89936570556"/>
    <n v="3122"/>
    <n v="0"/>
    <n v="3122"/>
    <n v="624.40000000000009"/>
    <n v="1"/>
    <n v="3122"/>
    <x v="35"/>
    <x v="6"/>
    <d v="2022-04-01T00:00:00"/>
  </r>
  <r>
    <s v="Cliente 181"/>
    <x v="1"/>
    <x v="1"/>
    <x v="1"/>
    <s v="Novo"/>
    <n v="90229387145"/>
    <s v="90229387145"/>
    <n v="1947"/>
    <n v="0"/>
    <n v="1947"/>
    <n v="584.1"/>
    <n v="1"/>
    <n v="1947"/>
    <x v="77"/>
    <x v="7"/>
    <d v="2022-07-01T00:00:00"/>
  </r>
  <r>
    <s v="Cliente 196"/>
    <x v="1"/>
    <x v="1"/>
    <x v="1"/>
    <s v="Novo"/>
    <n v="90719790842"/>
    <s v="90719790842"/>
    <n v="4140"/>
    <n v="0"/>
    <n v="4140"/>
    <n v="1242"/>
    <n v="1"/>
    <n v="4140"/>
    <x v="66"/>
    <x v="9"/>
    <d v="2022-06-01T00:00:00"/>
  </r>
  <r>
    <s v="Cliente 117"/>
    <x v="2"/>
    <x v="2"/>
    <x v="1"/>
    <s v="Renovação"/>
    <n v="90948874308"/>
    <s v="90948874308"/>
    <n v="1188"/>
    <n v="1766"/>
    <n v="0"/>
    <n v="0"/>
    <n v="1"/>
    <n v="1188"/>
    <x v="105"/>
    <x v="2"/>
    <d v="2022-07-01T00:00:00"/>
  </r>
  <r>
    <s v="Cliente 500"/>
    <x v="0"/>
    <x v="0"/>
    <x v="0"/>
    <s v="Novo"/>
    <n v="91115775609"/>
    <s v="91115775609"/>
    <n v="8281"/>
    <n v="0"/>
    <n v="8281"/>
    <n v="1656.2"/>
    <n v="1"/>
    <n v="8281"/>
    <x v="27"/>
    <x v="8"/>
    <d v="2022-05-01T00:00:00"/>
  </r>
  <r>
    <s v="Cliente 23"/>
    <x v="6"/>
    <x v="1"/>
    <x v="1"/>
    <s v="Renovação"/>
    <n v="91230368786"/>
    <s v="91230368786"/>
    <n v="9375"/>
    <n v="3237"/>
    <n v="6138"/>
    <n v="1841.3999999999999"/>
    <n v="1"/>
    <n v="9375"/>
    <x v="7"/>
    <x v="7"/>
    <d v="2022-07-01T00:00:00"/>
  </r>
  <r>
    <s v="Cliente 227"/>
    <x v="4"/>
    <x v="2"/>
    <x v="1"/>
    <s v="Novo"/>
    <n v="91488746481"/>
    <s v="91488746481"/>
    <n v="6836"/>
    <n v="0"/>
    <n v="6836"/>
    <n v="2050.7999999999997"/>
    <n v="1"/>
    <n v="6836"/>
    <x v="18"/>
    <x v="6"/>
    <d v="2022-04-01T00:00:00"/>
  </r>
  <r>
    <s v="Cliente 588"/>
    <x v="5"/>
    <x v="0"/>
    <x v="0"/>
    <s v="Novo"/>
    <n v="91554773893"/>
    <s v="91554773893"/>
    <n v="6731"/>
    <n v="0"/>
    <n v="6731"/>
    <n v="1346.2"/>
    <n v="1"/>
    <n v="6731"/>
    <x v="101"/>
    <x v="0"/>
    <d v="2022-06-01T00:00:00"/>
  </r>
  <r>
    <s v="Cliente 416"/>
    <x v="1"/>
    <x v="1"/>
    <x v="0"/>
    <s v="Renovação"/>
    <n v="91898328279"/>
    <s v="91898328279"/>
    <n v="5453"/>
    <n v="9751"/>
    <n v="0"/>
    <n v="0"/>
    <n v="1"/>
    <n v="5453"/>
    <x v="71"/>
    <x v="9"/>
    <d v="2022-06-01T00:00:00"/>
  </r>
  <r>
    <s v="Cliente 119"/>
    <x v="1"/>
    <x v="1"/>
    <x v="1"/>
    <s v="Renovação"/>
    <n v="92141502527"/>
    <s v="92141502527"/>
    <n v="6524"/>
    <n v="3498"/>
    <n v="3026"/>
    <n v="907.8"/>
    <n v="1"/>
    <n v="6524"/>
    <x v="106"/>
    <x v="3"/>
    <d v="2022-04-01T00:00:00"/>
  </r>
  <r>
    <s v="Cliente 58"/>
    <x v="4"/>
    <x v="2"/>
    <x v="1"/>
    <s v="Renovação"/>
    <n v="92592679266"/>
    <s v="92592679266"/>
    <n v="6711"/>
    <n v="4510"/>
    <n v="2201"/>
    <n v="0"/>
    <n v="0"/>
    <n v="0"/>
    <x v="10"/>
    <x v="5"/>
    <b v="0"/>
  </r>
  <r>
    <s v="Cliente 108"/>
    <x v="1"/>
    <x v="1"/>
    <x v="1"/>
    <s v="Renovação"/>
    <n v="92871093640"/>
    <s v="92871093640"/>
    <n v="5546"/>
    <n v="6779"/>
    <n v="0"/>
    <n v="0"/>
    <n v="1"/>
    <n v="5546"/>
    <x v="25"/>
    <x v="9"/>
    <d v="2022-06-01T00:00:00"/>
  </r>
  <r>
    <s v="Cliente 363"/>
    <x v="6"/>
    <x v="1"/>
    <x v="0"/>
    <s v="Renovação"/>
    <n v="93230313688"/>
    <s v="93230313688"/>
    <n v="9131"/>
    <n v="3363"/>
    <n v="5768"/>
    <n v="1153.6000000000001"/>
    <n v="1"/>
    <n v="9131"/>
    <x v="97"/>
    <x v="9"/>
    <d v="2022-06-01T00:00:00"/>
  </r>
  <r>
    <s v="Cliente 103"/>
    <x v="4"/>
    <x v="2"/>
    <x v="1"/>
    <s v="Renovação"/>
    <n v="93251549646"/>
    <s v="93251549646"/>
    <n v="5213"/>
    <n v="2604"/>
    <n v="2609"/>
    <n v="782.69999999999993"/>
    <n v="1"/>
    <n v="5213"/>
    <x v="63"/>
    <x v="6"/>
    <d v="2022-04-01T00:00:00"/>
  </r>
  <r>
    <s v="Cliente 558"/>
    <x v="1"/>
    <x v="1"/>
    <x v="0"/>
    <s v="Novo"/>
    <n v="93593939526"/>
    <s v="93593939526"/>
    <n v="9404"/>
    <n v="0"/>
    <n v="9404"/>
    <n v="1880.8000000000002"/>
    <n v="1"/>
    <n v="9404"/>
    <x v="75"/>
    <x v="9"/>
    <d v="2022-06-01T00:00:00"/>
  </r>
  <r>
    <s v="Cliente 158"/>
    <x v="4"/>
    <x v="2"/>
    <x v="1"/>
    <s v="Novo"/>
    <n v="93774912750"/>
    <s v="93774912750"/>
    <n v="8424"/>
    <n v="0"/>
    <n v="8424"/>
    <n v="2527.1999999999998"/>
    <n v="1"/>
    <n v="8424"/>
    <x v="107"/>
    <x v="6"/>
    <d v="2022-04-01T00:00:00"/>
  </r>
  <r>
    <s v="Cliente 497"/>
    <x v="1"/>
    <x v="1"/>
    <x v="0"/>
    <s v="Novo"/>
    <n v="93935611923"/>
    <s v="93935611923"/>
    <n v="9344"/>
    <n v="0"/>
    <n v="9344"/>
    <n v="1868.8000000000002"/>
    <n v="1"/>
    <n v="9344"/>
    <x v="74"/>
    <x v="1"/>
    <d v="2022-05-01T00:00:00"/>
  </r>
  <r>
    <s v="Cliente 62"/>
    <x v="4"/>
    <x v="2"/>
    <x v="1"/>
    <s v="Renovação"/>
    <n v="94180878908"/>
    <s v="94180878908"/>
    <n v="7649"/>
    <n v="4485"/>
    <n v="3164"/>
    <n v="949.19999999999993"/>
    <n v="1"/>
    <n v="7649"/>
    <x v="106"/>
    <x v="6"/>
    <d v="2022-04-01T00:00:00"/>
  </r>
  <r>
    <s v="Cliente 551"/>
    <x v="3"/>
    <x v="2"/>
    <x v="0"/>
    <s v="Novo"/>
    <n v="95039577120"/>
    <s v="95039577120"/>
    <n v="4527"/>
    <n v="0"/>
    <n v="4527"/>
    <n v="905.40000000000009"/>
    <n v="1"/>
    <n v="4527"/>
    <x v="43"/>
    <x v="0"/>
    <d v="2022-06-01T00:00:00"/>
  </r>
  <r>
    <s v="Cliente 451"/>
    <x v="4"/>
    <x v="2"/>
    <x v="0"/>
    <s v="Renovação"/>
    <n v="95830782450"/>
    <s v="95830782450"/>
    <n v="5162"/>
    <n v="2293"/>
    <n v="2869"/>
    <n v="573.80000000000007"/>
    <n v="1"/>
    <n v="5162"/>
    <x v="79"/>
    <x v="6"/>
    <d v="2022-04-01T00:00:00"/>
  </r>
  <r>
    <s v="Cliente 207"/>
    <x v="2"/>
    <x v="2"/>
    <x v="1"/>
    <s v="Novo"/>
    <n v="95853986923"/>
    <s v="95853986923"/>
    <n v="4278"/>
    <n v="0"/>
    <n v="4278"/>
    <n v="1283.3999999999999"/>
    <n v="1"/>
    <n v="4278"/>
    <x v="76"/>
    <x v="8"/>
    <d v="2022-05-01T00:00:00"/>
  </r>
  <r>
    <s v="Cliente 547"/>
    <x v="1"/>
    <x v="1"/>
    <x v="0"/>
    <s v="Novo"/>
    <n v="95944777286"/>
    <s v="95944777286"/>
    <n v="5820"/>
    <n v="0"/>
    <n v="5820"/>
    <n v="1164"/>
    <n v="1"/>
    <n v="5820"/>
    <x v="108"/>
    <x v="9"/>
    <d v="2022-06-01T00:00:00"/>
  </r>
  <r>
    <s v="Cliente 174"/>
    <x v="1"/>
    <x v="1"/>
    <x v="1"/>
    <s v="Novo"/>
    <n v="96683700678"/>
    <s v="96683700678"/>
    <n v="9153"/>
    <n v="0"/>
    <n v="9153"/>
    <n v="2745.9"/>
    <n v="1"/>
    <n v="9153"/>
    <x v="103"/>
    <x v="1"/>
    <d v="2022-05-01T00:00:00"/>
  </r>
  <r>
    <s v="Cliente 474"/>
    <x v="2"/>
    <x v="2"/>
    <x v="0"/>
    <s v="Novo"/>
    <n v="97561062644"/>
    <s v="97561062644"/>
    <n v="4554"/>
    <n v="0"/>
    <n v="4554"/>
    <n v="910.80000000000007"/>
    <n v="1"/>
    <n v="4554"/>
    <x v="109"/>
    <x v="2"/>
    <d v="2022-07-01T00:00:00"/>
  </r>
  <r>
    <s v="Cliente 180"/>
    <x v="3"/>
    <x v="2"/>
    <x v="1"/>
    <s v="Novo"/>
    <n v="97595559778"/>
    <s v="97595559778"/>
    <n v="1477"/>
    <n v="0"/>
    <n v="1477"/>
    <n v="443.09999999999997"/>
    <n v="1"/>
    <n v="1477"/>
    <x v="30"/>
    <x v="0"/>
    <d v="2022-06-01T00:00:00"/>
  </r>
  <r>
    <s v="Cliente 468"/>
    <x v="2"/>
    <x v="2"/>
    <x v="0"/>
    <s v="Novo"/>
    <n v="97620619297"/>
    <s v="97620619297"/>
    <n v="9359"/>
    <n v="0"/>
    <n v="9359"/>
    <n v="1871.8000000000002"/>
    <n v="1"/>
    <n v="9359"/>
    <x v="110"/>
    <x v="0"/>
    <d v="2022-06-01T00:00:00"/>
  </r>
  <r>
    <s v="Cliente 309"/>
    <x v="7"/>
    <x v="1"/>
    <x v="0"/>
    <s v="Renovação"/>
    <n v="97686845004"/>
    <s v="97686845004"/>
    <n v="9647"/>
    <n v="3316"/>
    <n v="6331"/>
    <n v="1266.2"/>
    <n v="1"/>
    <n v="9647"/>
    <x v="111"/>
    <x v="9"/>
    <d v="2022-06-01T00:00:00"/>
  </r>
  <r>
    <s v="Cliente 395"/>
    <x v="3"/>
    <x v="2"/>
    <x v="0"/>
    <s v="Renovação"/>
    <n v="98282076573"/>
    <s v="98282076573"/>
    <n v="3575"/>
    <n v="2762"/>
    <n v="813"/>
    <n v="162.60000000000002"/>
    <n v="1"/>
    <n v="3575"/>
    <x v="88"/>
    <x v="6"/>
    <d v="2022-04-01T00:00:00"/>
  </r>
  <r>
    <s v="Cliente 319"/>
    <x v="3"/>
    <x v="2"/>
    <x v="0"/>
    <s v="Renovação"/>
    <n v="99194980755"/>
    <s v="99194980755"/>
    <n v="8845"/>
    <n v="2846"/>
    <n v="5999"/>
    <n v="1199.8"/>
    <n v="1"/>
    <n v="8845"/>
    <x v="112"/>
    <x v="8"/>
    <d v="2022-05-01T00:00:00"/>
  </r>
  <r>
    <s v="Cliente 274"/>
    <x v="4"/>
    <x v="2"/>
    <x v="1"/>
    <s v="Novo"/>
    <n v="99651843458"/>
    <s v="99651843458"/>
    <n v="1972"/>
    <n v="0"/>
    <n v="1972"/>
    <n v="591.6"/>
    <n v="1"/>
    <n v="1972"/>
    <x v="82"/>
    <x v="8"/>
    <d v="2022-05-01T00:00:00"/>
  </r>
  <r>
    <s v="Cliente 283"/>
    <x v="3"/>
    <x v="2"/>
    <x v="1"/>
    <s v="Novo"/>
    <n v="99831403728"/>
    <s v="99831403728"/>
    <n v="7851"/>
    <n v="0"/>
    <n v="7851"/>
    <n v="2355.2999999999997"/>
    <n v="1"/>
    <n v="7851"/>
    <x v="81"/>
    <x v="0"/>
    <d v="2022-06-01T00:00:00"/>
  </r>
  <r>
    <s v="Cliente 341"/>
    <x v="7"/>
    <x v="1"/>
    <x v="0"/>
    <s v="Renovação"/>
    <s v="100.351.784-80"/>
    <s v="10035178480"/>
    <n v="1266"/>
    <n v="5925"/>
    <n v="0"/>
    <n v="0"/>
    <n v="1"/>
    <n v="1266"/>
    <x v="71"/>
    <x v="9"/>
    <d v="2022-06-01T00:00:00"/>
  </r>
  <r>
    <s v="Cliente 342"/>
    <x v="1"/>
    <x v="1"/>
    <x v="0"/>
    <s v="Renovação"/>
    <s v="100.680.991-27"/>
    <s v="10068099127"/>
    <n v="7830"/>
    <n v="8743"/>
    <n v="0"/>
    <n v="0"/>
    <n v="1"/>
    <n v="7830"/>
    <x v="51"/>
    <x v="1"/>
    <d v="2022-05-01T00:00:00"/>
  </r>
  <r>
    <s v="Cliente 372"/>
    <x v="3"/>
    <x v="2"/>
    <x v="0"/>
    <s v="Renovação"/>
    <s v="103.470.935-28"/>
    <s v="10347093528"/>
    <n v="4522"/>
    <n v="7001"/>
    <n v="0"/>
    <n v="0"/>
    <n v="1"/>
    <n v="4522"/>
    <x v="91"/>
    <x v="2"/>
    <d v="2022-07-01T00:00:00"/>
  </r>
  <r>
    <s v="Cliente 237"/>
    <x v="0"/>
    <x v="0"/>
    <x v="1"/>
    <s v="Novo"/>
    <s v="109.097.709-65"/>
    <s v="10909770965"/>
    <n v="9182"/>
    <n v="0"/>
    <n v="9182"/>
    <n v="2754.6"/>
    <n v="1"/>
    <n v="9182"/>
    <x v="113"/>
    <x v="0"/>
    <d v="2022-06-01T00:00:00"/>
  </r>
  <r>
    <s v="Cliente 236"/>
    <x v="1"/>
    <x v="1"/>
    <x v="1"/>
    <s v="Novo"/>
    <s v="116.063.745-42"/>
    <s v="11606374542"/>
    <n v="8765"/>
    <n v="0"/>
    <n v="8765"/>
    <n v="2629.5"/>
    <n v="1"/>
    <n v="8765"/>
    <x v="0"/>
    <x v="9"/>
    <d v="2022-06-01T00:00:00"/>
  </r>
  <r>
    <s v="Cliente 242"/>
    <x v="0"/>
    <x v="0"/>
    <x v="1"/>
    <s v="Novo"/>
    <s v="119.201.632-99"/>
    <s v="11920163299"/>
    <n v="2661"/>
    <n v="0"/>
    <n v="2661"/>
    <n v="798.3"/>
    <n v="1"/>
    <n v="2661"/>
    <x v="43"/>
    <x v="0"/>
    <d v="2022-06-01T00:00:00"/>
  </r>
  <r>
    <s v="Cliente 564"/>
    <x v="1"/>
    <x v="1"/>
    <x v="0"/>
    <s v="Novo"/>
    <s v="119.940.662-71"/>
    <s v="11994066271"/>
    <n v="9922"/>
    <n v="0"/>
    <n v="9922"/>
    <n v="1984.4"/>
    <n v="1"/>
    <n v="9922"/>
    <x v="79"/>
    <x v="3"/>
    <d v="2022-04-01T00:00:00"/>
  </r>
  <r>
    <s v="Cliente 105"/>
    <x v="1"/>
    <x v="1"/>
    <x v="1"/>
    <s v="Renovação"/>
    <s v="121.132.197-96"/>
    <s v="12113219796"/>
    <n v="6004"/>
    <n v="3581"/>
    <n v="2423"/>
    <n v="726.9"/>
    <n v="1"/>
    <n v="6004"/>
    <x v="1"/>
    <x v="1"/>
    <d v="2022-05-01T00:00:00"/>
  </r>
  <r>
    <s v="Cliente 336"/>
    <x v="4"/>
    <x v="2"/>
    <x v="0"/>
    <s v="Renovação"/>
    <s v="121.231.494-85"/>
    <s v="12123149485"/>
    <n v="1580"/>
    <n v="3070"/>
    <n v="0"/>
    <n v="0"/>
    <n v="1"/>
    <n v="1580"/>
    <x v="110"/>
    <x v="0"/>
    <d v="2022-06-01T00:00:00"/>
  </r>
  <r>
    <s v="Cliente 361"/>
    <x v="6"/>
    <x v="1"/>
    <x v="0"/>
    <s v="Renovação"/>
    <s v="127.062.115-88"/>
    <s v="12706211588"/>
    <n v="8414"/>
    <n v="4655"/>
    <n v="3759"/>
    <n v="751.80000000000007"/>
    <n v="1"/>
    <n v="8414"/>
    <x v="48"/>
    <x v="1"/>
    <d v="2022-05-01T00:00:00"/>
  </r>
  <r>
    <s v="Cliente 470"/>
    <x v="3"/>
    <x v="2"/>
    <x v="0"/>
    <s v="Novo"/>
    <s v="129.214.114-92"/>
    <s v="12921411492"/>
    <n v="3307"/>
    <n v="0"/>
    <n v="3307"/>
    <n v="661.40000000000009"/>
    <n v="1"/>
    <n v="3307"/>
    <x v="76"/>
    <x v="8"/>
    <d v="2022-05-01T00:00:00"/>
  </r>
  <r>
    <s v="Cliente 489"/>
    <x v="2"/>
    <x v="2"/>
    <x v="0"/>
    <s v="Novo"/>
    <s v="131.815.299-06"/>
    <s v="13181529906"/>
    <n v="8836"/>
    <n v="0"/>
    <n v="8836"/>
    <n v="1767.2"/>
    <n v="1"/>
    <n v="8836"/>
    <x v="9"/>
    <x v="2"/>
    <d v="2022-07-01T00:00:00"/>
  </r>
  <r>
    <s v="Cliente 329"/>
    <x v="6"/>
    <x v="1"/>
    <x v="0"/>
    <s v="Renovação"/>
    <s v="133.684.992-79"/>
    <s v="13368499279"/>
    <n v="9663"/>
    <n v="4251"/>
    <n v="5412"/>
    <n v="1082.4000000000001"/>
    <n v="1"/>
    <n v="9663"/>
    <x v="94"/>
    <x v="3"/>
    <d v="2022-04-01T00:00:00"/>
  </r>
  <r>
    <s v="Cliente 250"/>
    <x v="0"/>
    <x v="0"/>
    <x v="1"/>
    <s v="Novo"/>
    <s v="133.814.317-87"/>
    <s v="13381431787"/>
    <n v="5431"/>
    <n v="0"/>
    <n v="5431"/>
    <n v="1629.3"/>
    <n v="1"/>
    <n v="5431"/>
    <x v="38"/>
    <x v="6"/>
    <d v="2022-04-01T00:00:00"/>
  </r>
  <r>
    <s v="Cliente 460"/>
    <x v="7"/>
    <x v="1"/>
    <x v="0"/>
    <s v="Novo"/>
    <s v="136.975.029-21"/>
    <s v="13697502921"/>
    <n v="4273"/>
    <n v="0"/>
    <n v="4273"/>
    <n v="854.6"/>
    <n v="1"/>
    <n v="4273"/>
    <x v="17"/>
    <x v="7"/>
    <d v="2022-07-01T00:00:00"/>
  </r>
  <r>
    <s v="Cliente 473"/>
    <x v="1"/>
    <x v="1"/>
    <x v="0"/>
    <s v="Novo"/>
    <s v="143.725.967-72"/>
    <s v="14372596772"/>
    <n v="2443"/>
    <n v="0"/>
    <n v="2443"/>
    <n v="488.6"/>
    <n v="1"/>
    <n v="2443"/>
    <x v="110"/>
    <x v="9"/>
    <d v="2022-06-01T00:00:00"/>
  </r>
  <r>
    <s v="Cliente 523"/>
    <x v="7"/>
    <x v="1"/>
    <x v="0"/>
    <s v="Novo"/>
    <s v="144.144.558-67"/>
    <s v="14414455867"/>
    <n v="5953"/>
    <n v="0"/>
    <n v="5953"/>
    <n v="1190.6000000000001"/>
    <n v="1"/>
    <n v="5953"/>
    <x v="51"/>
    <x v="1"/>
    <d v="2022-05-01T00:00:00"/>
  </r>
  <r>
    <s v="Cliente 533"/>
    <x v="7"/>
    <x v="1"/>
    <x v="0"/>
    <s v="Novo"/>
    <s v="145.551.576-63"/>
    <s v="14555157663"/>
    <n v="7125"/>
    <n v="0"/>
    <n v="7125"/>
    <n v="1425"/>
    <n v="1"/>
    <n v="7125"/>
    <x v="55"/>
    <x v="7"/>
    <d v="2022-07-01T00:00:00"/>
  </r>
  <r>
    <s v="Cliente 186"/>
    <x v="5"/>
    <x v="0"/>
    <x v="1"/>
    <s v="Novo"/>
    <s v="145.763.136-78"/>
    <s v="14576313678"/>
    <n v="1121"/>
    <n v="0"/>
    <n v="1121"/>
    <n v="336.3"/>
    <n v="1"/>
    <n v="1121"/>
    <x v="33"/>
    <x v="2"/>
    <d v="2022-07-01T00:00:00"/>
  </r>
  <r>
    <s v="Cliente 461"/>
    <x v="7"/>
    <x v="1"/>
    <x v="0"/>
    <s v="Novo"/>
    <s v="146.393.929-52"/>
    <s v="14639392952"/>
    <n v="9453"/>
    <n v="0"/>
    <n v="9453"/>
    <n v="1890.6000000000001"/>
    <n v="1"/>
    <n v="9453"/>
    <x v="106"/>
    <x v="3"/>
    <d v="2022-04-01T00:00:00"/>
  </r>
  <r>
    <s v="Cliente 514"/>
    <x v="4"/>
    <x v="2"/>
    <x v="0"/>
    <s v="Novo"/>
    <s v="155.079.687-62"/>
    <s v="15507968762"/>
    <n v="7269"/>
    <n v="0"/>
    <n v="7269"/>
    <n v="1453.8000000000002"/>
    <n v="1"/>
    <n v="7269"/>
    <x v="114"/>
    <x v="6"/>
    <d v="2022-04-01T00:00:00"/>
  </r>
  <r>
    <s v="Cliente 4"/>
    <x v="0"/>
    <x v="0"/>
    <x v="1"/>
    <s v="Renovação"/>
    <s v="157.209.027-07"/>
    <s v="15720902707"/>
    <n v="1146"/>
    <n v="9571"/>
    <n v="0"/>
    <n v="0"/>
    <n v="1"/>
    <n v="1146"/>
    <x v="97"/>
    <x v="0"/>
    <d v="2022-06-01T00:00:00"/>
  </r>
  <r>
    <s v="Cliente 248"/>
    <x v="3"/>
    <x v="2"/>
    <x v="1"/>
    <s v="Novo"/>
    <s v="157.797.362-58"/>
    <s v="15779736258"/>
    <n v="6580"/>
    <n v="0"/>
    <n v="6580"/>
    <n v="1974"/>
    <n v="1"/>
    <n v="6580"/>
    <x v="17"/>
    <x v="2"/>
    <d v="2022-07-01T00:00:00"/>
  </r>
  <r>
    <s v="Cliente 145"/>
    <x v="7"/>
    <x v="1"/>
    <x v="1"/>
    <s v="Renovação"/>
    <s v="164.272.467-60"/>
    <s v="16427246760"/>
    <n v="5518"/>
    <n v="1700"/>
    <n v="3818"/>
    <n v="1145.3999999999999"/>
    <n v="1"/>
    <n v="5518"/>
    <x v="51"/>
    <x v="1"/>
    <d v="2022-05-01T00:00:00"/>
  </r>
  <r>
    <s v="Cliente 549"/>
    <x v="6"/>
    <x v="1"/>
    <x v="0"/>
    <s v="Novo"/>
    <s v="167.930.896-38"/>
    <s v="16793089638"/>
    <n v="8193"/>
    <n v="0"/>
    <n v="8193"/>
    <n v="1638.6000000000001"/>
    <n v="1"/>
    <n v="8193"/>
    <x v="115"/>
    <x v="1"/>
    <d v="2022-05-01T00:00:00"/>
  </r>
  <r>
    <s v="Cliente 440"/>
    <x v="2"/>
    <x v="2"/>
    <x v="0"/>
    <s v="Renovação"/>
    <s v="169.782.307-53"/>
    <s v="16978230753"/>
    <n v="5090"/>
    <n v="7818"/>
    <n v="0"/>
    <n v="0"/>
    <n v="1"/>
    <n v="5090"/>
    <x v="2"/>
    <x v="2"/>
    <d v="2022-07-01T00:00:00"/>
  </r>
  <r>
    <s v="Cliente 195"/>
    <x v="4"/>
    <x v="2"/>
    <x v="1"/>
    <s v="Novo"/>
    <s v="171.253.192-87"/>
    <s v="17125319287"/>
    <n v="3959"/>
    <n v="0"/>
    <n v="3959"/>
    <n v="1187.7"/>
    <n v="1"/>
    <n v="3959"/>
    <x v="29"/>
    <x v="0"/>
    <d v="2022-06-01T00:00:00"/>
  </r>
  <r>
    <s v="Cliente 404"/>
    <x v="0"/>
    <x v="0"/>
    <x v="0"/>
    <s v="Renovação"/>
    <s v="171.654.616-49"/>
    <s v="17165461649"/>
    <n v="8788"/>
    <n v="2588"/>
    <n v="6200"/>
    <n v="1240"/>
    <n v="1"/>
    <n v="8788"/>
    <x v="112"/>
    <x v="8"/>
    <d v="2022-05-01T00:00:00"/>
  </r>
  <r>
    <s v="Cliente 165"/>
    <x v="5"/>
    <x v="0"/>
    <x v="1"/>
    <s v="Novo"/>
    <s v="173.762.036-96"/>
    <s v="17376203696"/>
    <n v="8883"/>
    <n v="0"/>
    <n v="8883"/>
    <n v="2664.9"/>
    <n v="1"/>
    <n v="8883"/>
    <x v="101"/>
    <x v="0"/>
    <d v="2022-06-01T00:00:00"/>
  </r>
  <r>
    <s v="Cliente 326"/>
    <x v="0"/>
    <x v="0"/>
    <x v="0"/>
    <s v="Renovação"/>
    <s v="176.186.657-39"/>
    <s v="17618665739"/>
    <n v="5284"/>
    <n v="1721"/>
    <n v="3563"/>
    <n v="712.6"/>
    <n v="1"/>
    <n v="5284"/>
    <x v="44"/>
    <x v="8"/>
    <d v="2022-05-01T00:00:00"/>
  </r>
  <r>
    <s v="Cliente 251"/>
    <x v="2"/>
    <x v="2"/>
    <x v="1"/>
    <s v="Novo"/>
    <s v="180.055.490-41"/>
    <s v="18005549041"/>
    <n v="1550"/>
    <n v="0"/>
    <n v="1550"/>
    <n v="465"/>
    <n v="1"/>
    <n v="1550"/>
    <x v="11"/>
    <x v="2"/>
    <d v="2022-07-01T00:00:00"/>
  </r>
  <r>
    <s v="Cliente 503"/>
    <x v="3"/>
    <x v="2"/>
    <x v="0"/>
    <s v="Novo"/>
    <s v="184.497.639-81"/>
    <s v="18449763981"/>
    <n v="7513"/>
    <n v="0"/>
    <n v="7513"/>
    <n v="1502.6000000000001"/>
    <n v="1"/>
    <n v="7513"/>
    <x v="71"/>
    <x v="0"/>
    <d v="2022-06-01T00:00:00"/>
  </r>
  <r>
    <s v="Cliente 422"/>
    <x v="2"/>
    <x v="2"/>
    <x v="0"/>
    <s v="Renovação"/>
    <s v="185.167.512-52"/>
    <s v="18516751252"/>
    <n v="4078"/>
    <n v="1553"/>
    <n v="2525"/>
    <n v="505"/>
    <n v="1"/>
    <n v="4078"/>
    <x v="38"/>
    <x v="6"/>
    <d v="2022-04-01T00:00:00"/>
  </r>
  <r>
    <s v="Cliente 291"/>
    <x v="1"/>
    <x v="1"/>
    <x v="1"/>
    <s v="Novo"/>
    <s v="186.463.046-56"/>
    <s v="18646304656"/>
    <n v="9852"/>
    <n v="0"/>
    <n v="9852"/>
    <n v="2955.6"/>
    <n v="1"/>
    <n v="9852"/>
    <x v="108"/>
    <x v="9"/>
    <d v="2022-06-01T00:00:00"/>
  </r>
  <r>
    <s v="Cliente 320"/>
    <x v="5"/>
    <x v="0"/>
    <x v="0"/>
    <s v="Renovação"/>
    <s v="196.013.196-93"/>
    <s v="19601319693"/>
    <n v="1643"/>
    <n v="9540"/>
    <n v="0"/>
    <n v="0"/>
    <n v="1"/>
    <n v="1643"/>
    <x v="80"/>
    <x v="2"/>
    <d v="2022-07-01T00:00:00"/>
  </r>
  <r>
    <s v="Cliente 6"/>
    <x v="4"/>
    <x v="2"/>
    <x v="1"/>
    <s v="Renovação"/>
    <s v="196.180.028-10"/>
    <s v="19618002810"/>
    <n v="3076"/>
    <n v="6148"/>
    <n v="0"/>
    <n v="0"/>
    <n v="0"/>
    <n v="0"/>
    <x v="10"/>
    <x v="5"/>
    <b v="0"/>
  </r>
  <r>
    <s v="Cliente 371"/>
    <x v="5"/>
    <x v="0"/>
    <x v="0"/>
    <s v="Renovação"/>
    <s v="197.181.503-65"/>
    <s v="19718150365"/>
    <n v="3507"/>
    <n v="3538"/>
    <n v="0"/>
    <n v="0"/>
    <n v="1"/>
    <n v="3507"/>
    <x v="7"/>
    <x v="2"/>
    <d v="2022-07-01T00:00:00"/>
  </r>
  <r>
    <s v="Cliente 45"/>
    <x v="7"/>
    <x v="1"/>
    <x v="1"/>
    <s v="Renovação"/>
    <s v="197.254.039-33"/>
    <s v="19725403933"/>
    <n v="9778"/>
    <n v="2112"/>
    <n v="7666"/>
    <n v="0"/>
    <n v="0"/>
    <n v="0"/>
    <x v="10"/>
    <x v="4"/>
    <b v="0"/>
  </r>
  <r>
    <s v="Cliente 410"/>
    <x v="6"/>
    <x v="1"/>
    <x v="0"/>
    <s v="Renovação"/>
    <s v="197.377.196-47"/>
    <s v="19737719647"/>
    <n v="5239"/>
    <n v="1821"/>
    <n v="3418"/>
    <n v="683.6"/>
    <n v="1"/>
    <n v="5239"/>
    <x v="8"/>
    <x v="3"/>
    <d v="2022-04-01T00:00:00"/>
  </r>
  <r>
    <s v="Cliente 574"/>
    <x v="6"/>
    <x v="1"/>
    <x v="0"/>
    <s v="Novo"/>
    <s v="202.112.558-41"/>
    <s v="20211255841"/>
    <n v="8494"/>
    <n v="0"/>
    <n v="8494"/>
    <n v="1698.8000000000002"/>
    <n v="1"/>
    <n v="8494"/>
    <x v="47"/>
    <x v="9"/>
    <d v="2022-06-01T00:00:00"/>
  </r>
  <r>
    <s v="Cliente 557"/>
    <x v="4"/>
    <x v="2"/>
    <x v="0"/>
    <s v="Novo"/>
    <s v="214.041.337-34"/>
    <s v="21404133734"/>
    <n v="3254"/>
    <n v="0"/>
    <n v="3254"/>
    <n v="650.80000000000007"/>
    <n v="1"/>
    <n v="3254"/>
    <x v="106"/>
    <x v="6"/>
    <d v="2022-04-01T00:00:00"/>
  </r>
  <r>
    <s v="Cliente 148"/>
    <x v="2"/>
    <x v="2"/>
    <x v="1"/>
    <s v="Renovação"/>
    <s v="215.938.134-26"/>
    <s v="21593813426"/>
    <n v="6414"/>
    <n v="8742"/>
    <n v="0"/>
    <n v="0"/>
    <n v="0"/>
    <n v="0"/>
    <x v="10"/>
    <x v="5"/>
    <b v="0"/>
  </r>
  <r>
    <s v="Cliente 146"/>
    <x v="4"/>
    <x v="2"/>
    <x v="1"/>
    <s v="Renovação"/>
    <s v="217.385.611-30"/>
    <s v="21738561130"/>
    <n v="3364"/>
    <n v="1116"/>
    <n v="2248"/>
    <n v="674.4"/>
    <n v="1"/>
    <n v="3364"/>
    <x v="19"/>
    <x v="8"/>
    <d v="2022-05-01T00:00:00"/>
  </r>
  <r>
    <s v="Cliente 390"/>
    <x v="7"/>
    <x v="1"/>
    <x v="0"/>
    <s v="Renovação"/>
    <s v="223.300.242-75"/>
    <s v="22330024275"/>
    <n v="1388"/>
    <n v="8811"/>
    <n v="0"/>
    <n v="0"/>
    <n v="1"/>
    <n v="1388"/>
    <x v="59"/>
    <x v="1"/>
    <d v="2022-05-01T00:00:00"/>
  </r>
  <r>
    <s v="Cliente 438"/>
    <x v="6"/>
    <x v="1"/>
    <x v="0"/>
    <s v="Renovação"/>
    <s v="223.338.426-82"/>
    <s v="22333842682"/>
    <n v="3773"/>
    <n v="5822"/>
    <n v="0"/>
    <n v="0"/>
    <n v="1"/>
    <n v="3773"/>
    <x v="49"/>
    <x v="9"/>
    <d v="2022-06-01T00:00:00"/>
  </r>
  <r>
    <s v="Cliente 9"/>
    <x v="0"/>
    <x v="0"/>
    <x v="1"/>
    <s v="Renovação"/>
    <s v="225.448.521-10"/>
    <s v="22544852110"/>
    <n v="5336"/>
    <n v="9330"/>
    <n v="0"/>
    <n v="0"/>
    <n v="1"/>
    <n v="5336"/>
    <x v="57"/>
    <x v="8"/>
    <d v="2022-05-01T00:00:00"/>
  </r>
  <r>
    <s v="Cliente 130"/>
    <x v="2"/>
    <x v="2"/>
    <x v="1"/>
    <s v="Renovação"/>
    <s v="231.967.316-53"/>
    <s v="23196731653"/>
    <n v="1829"/>
    <n v="1065"/>
    <n v="764"/>
    <n v="0"/>
    <n v="0"/>
    <n v="0"/>
    <x v="10"/>
    <x v="5"/>
    <b v="0"/>
  </r>
  <r>
    <s v="Cliente 120"/>
    <x v="2"/>
    <x v="2"/>
    <x v="1"/>
    <s v="Renovação"/>
    <s v="232.681.938-85"/>
    <s v="23268193885"/>
    <n v="4170"/>
    <n v="9604"/>
    <n v="0"/>
    <n v="0"/>
    <n v="1"/>
    <n v="4170"/>
    <x v="11"/>
    <x v="2"/>
    <d v="2022-07-01T00:00:00"/>
  </r>
  <r>
    <s v="Cliente 294"/>
    <x v="1"/>
    <x v="1"/>
    <x v="1"/>
    <s v="Novo"/>
    <s v="234.765.632-51"/>
    <s v="23476563251"/>
    <n v="2705"/>
    <n v="0"/>
    <n v="2705"/>
    <n v="811.5"/>
    <n v="1"/>
    <n v="2705"/>
    <x v="76"/>
    <x v="1"/>
    <d v="2022-05-01T00:00:00"/>
  </r>
  <r>
    <s v="Cliente 240"/>
    <x v="3"/>
    <x v="2"/>
    <x v="1"/>
    <s v="Novo"/>
    <s v="236.296.054-05"/>
    <s v="23629605405"/>
    <n v="6485"/>
    <n v="0"/>
    <n v="6485"/>
    <n v="1945.5"/>
    <n v="1"/>
    <n v="6485"/>
    <x v="88"/>
    <x v="6"/>
    <d v="2022-04-01T00:00:00"/>
  </r>
  <r>
    <s v="Cliente 121"/>
    <x v="4"/>
    <x v="2"/>
    <x v="1"/>
    <s v="Renovação"/>
    <s v="240.584.996-88"/>
    <s v="24058499688"/>
    <n v="1347"/>
    <n v="9048"/>
    <n v="0"/>
    <n v="0"/>
    <n v="1"/>
    <n v="1347"/>
    <x v="13"/>
    <x v="6"/>
    <d v="2022-04-01T00:00:00"/>
  </r>
  <r>
    <s v="Cliente 118"/>
    <x v="0"/>
    <x v="0"/>
    <x v="1"/>
    <s v="Renovação"/>
    <s v="242.186.949-68"/>
    <s v="24218694968"/>
    <n v="9062"/>
    <n v="1862"/>
    <n v="7200"/>
    <n v="0"/>
    <n v="0"/>
    <n v="0"/>
    <x v="10"/>
    <x v="5"/>
    <b v="0"/>
  </r>
  <r>
    <s v="Cliente 462"/>
    <x v="2"/>
    <x v="2"/>
    <x v="0"/>
    <s v="Novo"/>
    <s v="246.410.726-47"/>
    <s v="24641072647"/>
    <n v="5333"/>
    <n v="0"/>
    <n v="5333"/>
    <n v="1066.6000000000001"/>
    <n v="1"/>
    <n v="5333"/>
    <x v="48"/>
    <x v="8"/>
    <d v="2022-05-01T00:00:00"/>
  </r>
  <r>
    <s v="Cliente 412"/>
    <x v="4"/>
    <x v="2"/>
    <x v="0"/>
    <s v="Renovação"/>
    <s v="252.478.198-97"/>
    <s v="25247819897"/>
    <n v="4864"/>
    <n v="6495"/>
    <n v="0"/>
    <n v="0"/>
    <n v="1"/>
    <n v="4864"/>
    <x v="86"/>
    <x v="2"/>
    <d v="2022-07-01T00:00:00"/>
  </r>
  <r>
    <s v="Cliente 586"/>
    <x v="5"/>
    <x v="0"/>
    <x v="0"/>
    <s v="Novo"/>
    <s v="255.745.414-98"/>
    <s v="25574541498"/>
    <n v="8239"/>
    <n v="0"/>
    <n v="8239"/>
    <n v="1647.8000000000002"/>
    <n v="1"/>
    <n v="8239"/>
    <x v="39"/>
    <x v="2"/>
    <d v="2022-07-01T00:00:00"/>
  </r>
  <r>
    <s v="Cliente 578"/>
    <x v="2"/>
    <x v="2"/>
    <x v="0"/>
    <s v="Novo"/>
    <s v="261.214.385-52"/>
    <s v="26121438552"/>
    <n v="7490"/>
    <n v="0"/>
    <n v="7490"/>
    <n v="1498"/>
    <n v="1"/>
    <n v="7490"/>
    <x v="79"/>
    <x v="6"/>
    <d v="2022-04-01T00:00:00"/>
  </r>
  <r>
    <s v="Cliente 273"/>
    <x v="2"/>
    <x v="2"/>
    <x v="1"/>
    <s v="Novo"/>
    <s v="264.615.156-86"/>
    <s v="26461515686"/>
    <n v="3046"/>
    <n v="0"/>
    <n v="3046"/>
    <n v="913.8"/>
    <n v="1"/>
    <n v="3046"/>
    <x v="43"/>
    <x v="0"/>
    <d v="2022-06-01T00:00:00"/>
  </r>
  <r>
    <s v="Cliente 322"/>
    <x v="6"/>
    <x v="1"/>
    <x v="0"/>
    <s v="Renovação"/>
    <s v="273.129.416-37"/>
    <s v="27312941637"/>
    <n v="3550"/>
    <n v="7062"/>
    <n v="0"/>
    <n v="0"/>
    <n v="1"/>
    <n v="3550"/>
    <x v="6"/>
    <x v="3"/>
    <d v="2022-04-01T00:00:00"/>
  </r>
  <r>
    <s v="Cliente 520"/>
    <x v="5"/>
    <x v="0"/>
    <x v="0"/>
    <s v="Novo"/>
    <s v="274.754.399-20"/>
    <s v="27475439920"/>
    <n v="2210"/>
    <n v="0"/>
    <n v="2210"/>
    <n v="442"/>
    <n v="1"/>
    <n v="2210"/>
    <x v="84"/>
    <x v="6"/>
    <d v="2022-04-01T00:00:00"/>
  </r>
  <r>
    <s v="Cliente 434"/>
    <x v="1"/>
    <x v="1"/>
    <x v="0"/>
    <s v="Renovação"/>
    <s v="275.077.600-81"/>
    <s v="27507760081"/>
    <n v="7484"/>
    <n v="5316"/>
    <n v="2168"/>
    <n v="433.6"/>
    <n v="1"/>
    <n v="7484"/>
    <x v="97"/>
    <x v="9"/>
    <d v="2022-06-01T00:00:00"/>
  </r>
  <r>
    <s v="Cliente 177"/>
    <x v="4"/>
    <x v="2"/>
    <x v="1"/>
    <s v="Novo"/>
    <s v="277.615.565-53"/>
    <s v="27761556553"/>
    <n v="8191"/>
    <n v="0"/>
    <n v="8191"/>
    <n v="2457.2999999999997"/>
    <n v="1"/>
    <n v="8191"/>
    <x v="69"/>
    <x v="8"/>
    <d v="2022-05-01T00:00:00"/>
  </r>
  <r>
    <s v="Cliente 505"/>
    <x v="7"/>
    <x v="1"/>
    <x v="0"/>
    <s v="Novo"/>
    <s v="278.970.683-40"/>
    <s v="27897068340"/>
    <n v="4843"/>
    <n v="0"/>
    <n v="4843"/>
    <n v="968.6"/>
    <n v="1"/>
    <n v="4843"/>
    <x v="79"/>
    <x v="3"/>
    <d v="2022-04-01T00:00:00"/>
  </r>
  <r>
    <s v="Cliente 343"/>
    <x v="2"/>
    <x v="2"/>
    <x v="0"/>
    <s v="Renovação"/>
    <s v="282.292.210-06"/>
    <s v="28229221006"/>
    <n v="6905"/>
    <n v="6777"/>
    <n v="128"/>
    <n v="25.6"/>
    <n v="1"/>
    <n v="6905"/>
    <x v="102"/>
    <x v="0"/>
    <d v="2022-06-01T00:00:00"/>
  </r>
  <r>
    <s v="Cliente 388"/>
    <x v="5"/>
    <x v="0"/>
    <x v="0"/>
    <s v="Renovação"/>
    <s v="284.016.660-26"/>
    <s v="28401666026"/>
    <n v="8277"/>
    <n v="1014"/>
    <n v="7263"/>
    <n v="1452.6000000000001"/>
    <n v="1"/>
    <n v="8277"/>
    <x v="22"/>
    <x v="8"/>
    <d v="2022-05-01T00:00:00"/>
  </r>
  <r>
    <s v="Cliente 465"/>
    <x v="1"/>
    <x v="1"/>
    <x v="0"/>
    <s v="Novo"/>
    <s v="285.918.600-00"/>
    <s v="28591860000"/>
    <n v="8264"/>
    <n v="0"/>
    <n v="8264"/>
    <n v="1652.8000000000002"/>
    <n v="1"/>
    <n v="8264"/>
    <x v="110"/>
    <x v="9"/>
    <d v="2022-06-01T00:00:00"/>
  </r>
  <r>
    <s v="Cliente 375"/>
    <x v="0"/>
    <x v="0"/>
    <x v="0"/>
    <s v="Renovação"/>
    <s v="287.346.456-45"/>
    <s v="28734645645"/>
    <n v="3417"/>
    <n v="5770"/>
    <n v="0"/>
    <n v="0"/>
    <n v="1"/>
    <n v="3417"/>
    <x v="98"/>
    <x v="6"/>
    <d v="2022-04-01T00:00:00"/>
  </r>
  <r>
    <s v="Cliente 384"/>
    <x v="2"/>
    <x v="2"/>
    <x v="0"/>
    <s v="Renovação"/>
    <s v="289.958.793-61"/>
    <s v="28995879361"/>
    <n v="4568"/>
    <n v="4059"/>
    <n v="509"/>
    <n v="101.80000000000001"/>
    <n v="1"/>
    <n v="4568"/>
    <x v="48"/>
    <x v="8"/>
    <d v="2022-05-01T00:00:00"/>
  </r>
  <r>
    <s v="Cliente 217"/>
    <x v="0"/>
    <x v="0"/>
    <x v="1"/>
    <s v="Novo"/>
    <s v="292.914.135-28"/>
    <s v="29291413528"/>
    <n v="3692"/>
    <n v="0"/>
    <n v="3692"/>
    <n v="1107.5999999999999"/>
    <n v="1"/>
    <n v="3692"/>
    <x v="110"/>
    <x v="0"/>
    <d v="2022-06-01T00:00:00"/>
  </r>
  <r>
    <s v="Cliente 25"/>
    <x v="0"/>
    <x v="0"/>
    <x v="1"/>
    <s v="Renovação"/>
    <s v="294.933.876-36"/>
    <s v="29493387636"/>
    <n v="4504"/>
    <n v="6773"/>
    <n v="0"/>
    <n v="0"/>
    <n v="0"/>
    <n v="0"/>
    <x v="10"/>
    <x v="5"/>
    <b v="0"/>
  </r>
  <r>
    <s v="Cliente 10"/>
    <x v="2"/>
    <x v="2"/>
    <x v="1"/>
    <s v="Renovação"/>
    <s v="296.469.719-76"/>
    <s v="29646971976"/>
    <n v="3119"/>
    <n v="7499"/>
    <n v="0"/>
    <n v="0"/>
    <n v="0"/>
    <n v="0"/>
    <x v="10"/>
    <x v="5"/>
    <b v="0"/>
  </r>
  <r>
    <s v="Cliente 393"/>
    <x v="0"/>
    <x v="0"/>
    <x v="0"/>
    <s v="Renovação"/>
    <s v="305.160.755-55"/>
    <s v="30516075555"/>
    <n v="5666"/>
    <n v="3901"/>
    <n v="1765"/>
    <n v="353"/>
    <n v="1"/>
    <n v="5666"/>
    <x v="19"/>
    <x v="8"/>
    <d v="2022-05-01T00:00:00"/>
  </r>
  <r>
    <s v="Cliente 423"/>
    <x v="0"/>
    <x v="0"/>
    <x v="0"/>
    <s v="Renovação"/>
    <s v="306.232.841-41"/>
    <s v="30623284141"/>
    <n v="5636"/>
    <n v="2909"/>
    <n v="2727"/>
    <n v="545.4"/>
    <n v="1"/>
    <n v="5636"/>
    <x v="21"/>
    <x v="6"/>
    <d v="2022-04-01T00:00:00"/>
  </r>
  <r>
    <s v="Cliente 397"/>
    <x v="5"/>
    <x v="0"/>
    <x v="0"/>
    <s v="Renovação"/>
    <s v="310.774.859-42"/>
    <s v="31077485942"/>
    <n v="5706"/>
    <n v="7687"/>
    <n v="0"/>
    <n v="0"/>
    <n v="1"/>
    <n v="5706"/>
    <x v="32"/>
    <x v="2"/>
    <d v="2022-07-01T00:00:00"/>
  </r>
  <r>
    <s v="Cliente 449"/>
    <x v="1"/>
    <x v="1"/>
    <x v="0"/>
    <s v="Renovação"/>
    <s v="315.453.416-03"/>
    <s v="31545341603"/>
    <n v="3052"/>
    <n v="6551"/>
    <n v="0"/>
    <n v="0"/>
    <n v="1"/>
    <n v="3052"/>
    <x v="35"/>
    <x v="3"/>
    <d v="2022-04-01T00:00:00"/>
  </r>
  <r>
    <s v="Cliente 479"/>
    <x v="5"/>
    <x v="0"/>
    <x v="0"/>
    <s v="Novo"/>
    <s v="317.230.924-04"/>
    <s v="31723092404"/>
    <n v="7210"/>
    <n v="0"/>
    <n v="7210"/>
    <n v="1442"/>
    <n v="1"/>
    <n v="7210"/>
    <x v="77"/>
    <x v="2"/>
    <d v="2022-07-01T00:00:00"/>
  </r>
  <r>
    <s v="Cliente 485"/>
    <x v="2"/>
    <x v="2"/>
    <x v="0"/>
    <s v="Novo"/>
    <s v="318.445.198-89"/>
    <s v="31844519889"/>
    <n v="3350"/>
    <n v="0"/>
    <n v="3350"/>
    <n v="670"/>
    <n v="1"/>
    <n v="3350"/>
    <x v="4"/>
    <x v="2"/>
    <d v="2022-07-01T00:00:00"/>
  </r>
  <r>
    <s v="Cliente 80"/>
    <x v="6"/>
    <x v="1"/>
    <x v="1"/>
    <s v="Renovação"/>
    <s v="318.585.954-12"/>
    <s v="31858595412"/>
    <n v="4792"/>
    <n v="7713"/>
    <n v="0"/>
    <n v="0"/>
    <n v="0"/>
    <n v="0"/>
    <x v="10"/>
    <x v="4"/>
    <b v="0"/>
  </r>
  <r>
    <s v="Cliente 585"/>
    <x v="7"/>
    <x v="1"/>
    <x v="0"/>
    <s v="Novo"/>
    <s v="319.391.752-64"/>
    <s v="31939175264"/>
    <n v="7637"/>
    <n v="0"/>
    <n v="7637"/>
    <n v="1527.4"/>
    <n v="1"/>
    <n v="7637"/>
    <x v="102"/>
    <x v="9"/>
    <d v="2022-06-01T00:00:00"/>
  </r>
  <r>
    <s v="Cliente 40"/>
    <x v="0"/>
    <x v="0"/>
    <x v="1"/>
    <s v="Renovação"/>
    <s v="320.561.791-12"/>
    <s v="32056179112"/>
    <n v="1239"/>
    <n v="4324"/>
    <n v="0"/>
    <n v="0"/>
    <n v="1"/>
    <n v="1239"/>
    <x v="15"/>
    <x v="8"/>
    <d v="2022-05-01T00:00:00"/>
  </r>
  <r>
    <s v="Cliente 442"/>
    <x v="0"/>
    <x v="0"/>
    <x v="0"/>
    <s v="Renovação"/>
    <s v="324.428.748-50"/>
    <s v="32442874850"/>
    <n v="6400"/>
    <n v="5873"/>
    <n v="527"/>
    <n v="105.4"/>
    <n v="1"/>
    <n v="6400"/>
    <x v="24"/>
    <x v="0"/>
    <d v="2022-06-01T00:00:00"/>
  </r>
  <r>
    <s v="Cliente 313"/>
    <x v="6"/>
    <x v="1"/>
    <x v="0"/>
    <s v="Renovação"/>
    <s v="324.455.757-61"/>
    <s v="32445575761"/>
    <n v="3806"/>
    <n v="3626"/>
    <n v="180"/>
    <n v="36"/>
    <n v="1"/>
    <n v="3806"/>
    <x v="33"/>
    <x v="7"/>
    <d v="2022-07-01T00:00:00"/>
  </r>
  <r>
    <s v="Cliente 102"/>
    <x v="7"/>
    <x v="1"/>
    <x v="1"/>
    <s v="Renovação"/>
    <s v="326.036.189-03"/>
    <s v="32603618903"/>
    <n v="4653"/>
    <n v="4048"/>
    <n v="605"/>
    <n v="181.5"/>
    <n v="1"/>
    <n v="4653"/>
    <x v="83"/>
    <x v="9"/>
    <d v="2022-06-01T00:00:00"/>
  </r>
  <r>
    <s v="Cliente 598"/>
    <x v="1"/>
    <x v="1"/>
    <x v="0"/>
    <s v="Novo"/>
    <s v="327.545.809-19"/>
    <s v="32754580919"/>
    <n v="2357"/>
    <n v="0"/>
    <n v="2357"/>
    <n v="471.40000000000003"/>
    <n v="1"/>
    <n v="2357"/>
    <x v="36"/>
    <x v="1"/>
    <d v="2022-05-01T00:00:00"/>
  </r>
  <r>
    <s v="Cliente 584"/>
    <x v="3"/>
    <x v="2"/>
    <x v="0"/>
    <s v="Novo"/>
    <s v="333.302.440-30"/>
    <s v="33330244030"/>
    <n v="6266"/>
    <n v="0"/>
    <n v="6266"/>
    <n v="1253.2"/>
    <n v="1"/>
    <n v="6266"/>
    <x v="48"/>
    <x v="8"/>
    <d v="2022-05-01T00:00:00"/>
  </r>
  <r>
    <s v="Cliente 88"/>
    <x v="0"/>
    <x v="0"/>
    <x v="1"/>
    <s v="Renovação"/>
    <s v="335.965.968-26"/>
    <s v="33596596826"/>
    <n v="1427"/>
    <n v="8678"/>
    <n v="0"/>
    <n v="0"/>
    <n v="1"/>
    <n v="1427"/>
    <x v="48"/>
    <x v="8"/>
    <d v="2022-05-01T00:00:00"/>
  </r>
  <r>
    <s v="Cliente 538"/>
    <x v="5"/>
    <x v="0"/>
    <x v="0"/>
    <s v="Novo"/>
    <s v="336.982.817-03"/>
    <s v="33698281703"/>
    <n v="1110"/>
    <n v="0"/>
    <n v="1110"/>
    <n v="222"/>
    <n v="1"/>
    <n v="1110"/>
    <x v="86"/>
    <x v="2"/>
    <d v="2022-07-01T00:00:00"/>
  </r>
  <r>
    <s v="Cliente 596"/>
    <x v="3"/>
    <x v="2"/>
    <x v="0"/>
    <s v="Novo"/>
    <s v="342.587.499-71"/>
    <s v="34258749971"/>
    <n v="9349"/>
    <n v="0"/>
    <n v="9349"/>
    <n v="1869.8000000000002"/>
    <n v="1"/>
    <n v="9349"/>
    <x v="16"/>
    <x v="6"/>
    <d v="2022-04-01T00:00:00"/>
  </r>
  <r>
    <s v="Cliente 362"/>
    <x v="4"/>
    <x v="2"/>
    <x v="0"/>
    <s v="Renovação"/>
    <s v="347.696.999-02"/>
    <s v="34769699902"/>
    <n v="1773"/>
    <n v="1912"/>
    <n v="0"/>
    <n v="0"/>
    <n v="1"/>
    <n v="1773"/>
    <x v="8"/>
    <x v="6"/>
    <d v="2022-04-01T00:00:00"/>
  </r>
  <r>
    <s v="Cliente 31"/>
    <x v="1"/>
    <x v="1"/>
    <x v="1"/>
    <s v="Renovação"/>
    <s v="352.786.454-67"/>
    <s v="35278645467"/>
    <n v="5522"/>
    <n v="6243"/>
    <n v="0"/>
    <n v="0"/>
    <n v="1"/>
    <n v="5522"/>
    <x v="100"/>
    <x v="1"/>
    <d v="2022-05-01T00:00:00"/>
  </r>
  <r>
    <s v="Cliente 437"/>
    <x v="4"/>
    <x v="2"/>
    <x v="0"/>
    <s v="Renovação"/>
    <s v="357.226.254-46"/>
    <s v="35722625446"/>
    <n v="6546"/>
    <n v="3382"/>
    <n v="3164"/>
    <n v="632.80000000000007"/>
    <n v="1"/>
    <n v="6546"/>
    <x v="2"/>
    <x v="2"/>
    <d v="2022-07-01T00:00:00"/>
  </r>
  <r>
    <s v="Cliente 311"/>
    <x v="6"/>
    <x v="1"/>
    <x v="0"/>
    <s v="Renovação"/>
    <s v="357.993.696-27"/>
    <s v="35799369627"/>
    <n v="7648"/>
    <n v="7172"/>
    <n v="476"/>
    <n v="95.2"/>
    <n v="1"/>
    <n v="7648"/>
    <x v="40"/>
    <x v="3"/>
    <d v="2022-04-01T00:00:00"/>
  </r>
  <r>
    <s v="Cliente 147"/>
    <x v="1"/>
    <x v="1"/>
    <x v="1"/>
    <s v="Renovação"/>
    <s v="359.861.910-33"/>
    <s v="35986191033"/>
    <n v="9932"/>
    <n v="5182"/>
    <n v="4750"/>
    <n v="1425"/>
    <n v="1"/>
    <n v="9932"/>
    <x v="77"/>
    <x v="7"/>
    <d v="2022-07-01T00:00:00"/>
  </r>
  <r>
    <s v="Cliente 281"/>
    <x v="6"/>
    <x v="1"/>
    <x v="1"/>
    <s v="Novo"/>
    <s v="369.407.593-18"/>
    <s v="36940759318"/>
    <n v="9725"/>
    <n v="0"/>
    <n v="9725"/>
    <n v="2917.5"/>
    <n v="1"/>
    <n v="9725"/>
    <x v="92"/>
    <x v="1"/>
    <d v="2022-05-01T00:00:00"/>
  </r>
  <r>
    <s v="Cliente 355"/>
    <x v="6"/>
    <x v="1"/>
    <x v="0"/>
    <s v="Renovação"/>
    <s v="370.093.084-94"/>
    <s v="37009308494"/>
    <n v="3095"/>
    <n v="8958"/>
    <n v="0"/>
    <n v="0"/>
    <n v="1"/>
    <n v="3095"/>
    <x v="109"/>
    <x v="7"/>
    <d v="2022-07-01T00:00:00"/>
  </r>
  <r>
    <s v="Cliente 335"/>
    <x v="7"/>
    <x v="1"/>
    <x v="0"/>
    <s v="Renovação"/>
    <s v="370.607.261-44"/>
    <s v="37060726144"/>
    <n v="5330"/>
    <n v="5939"/>
    <n v="0"/>
    <n v="0"/>
    <n v="1"/>
    <n v="5330"/>
    <x v="85"/>
    <x v="1"/>
    <d v="2022-05-01T00:00:00"/>
  </r>
  <r>
    <s v="Cliente 19"/>
    <x v="0"/>
    <x v="0"/>
    <x v="1"/>
    <s v="Renovação"/>
    <s v="373.517.410-26"/>
    <s v="37351741026"/>
    <n v="9289"/>
    <n v="2239"/>
    <n v="7050"/>
    <n v="0"/>
    <n v="0"/>
    <n v="0"/>
    <x v="10"/>
    <x v="5"/>
    <b v="0"/>
  </r>
  <r>
    <s v="Cliente 143"/>
    <x v="1"/>
    <x v="1"/>
    <x v="1"/>
    <s v="Renovação"/>
    <s v="380.020.872-68"/>
    <s v="38002087268"/>
    <n v="8314"/>
    <n v="5150"/>
    <n v="3164"/>
    <n v="949.19999999999993"/>
    <n v="1"/>
    <n v="8314"/>
    <x v="31"/>
    <x v="3"/>
    <d v="2022-04-01T00:00:00"/>
  </r>
  <r>
    <s v="Cliente 392"/>
    <x v="0"/>
    <x v="0"/>
    <x v="0"/>
    <s v="Renovação"/>
    <s v="384.793.565-83"/>
    <s v="38479356583"/>
    <n v="3413"/>
    <n v="5581"/>
    <n v="0"/>
    <n v="0"/>
    <n v="1"/>
    <n v="3413"/>
    <x v="98"/>
    <x v="6"/>
    <d v="2022-04-01T00:00:00"/>
  </r>
  <r>
    <s v="Cliente 318"/>
    <x v="1"/>
    <x v="1"/>
    <x v="0"/>
    <s v="Renovação"/>
    <s v="387.061.428-90"/>
    <s v="38706142890"/>
    <n v="9546"/>
    <n v="1101"/>
    <n v="8445"/>
    <n v="1689"/>
    <n v="1"/>
    <n v="9546"/>
    <x v="41"/>
    <x v="1"/>
    <d v="2022-05-01T00:00:00"/>
  </r>
  <r>
    <s v="Cliente 68"/>
    <x v="2"/>
    <x v="2"/>
    <x v="1"/>
    <s v="Renovação"/>
    <s v="391.653.021-11"/>
    <s v="39165302111"/>
    <n v="2109"/>
    <n v="8702"/>
    <n v="0"/>
    <n v="0"/>
    <n v="0"/>
    <n v="0"/>
    <x v="10"/>
    <x v="5"/>
    <b v="0"/>
  </r>
  <r>
    <s v="Cliente 74"/>
    <x v="3"/>
    <x v="2"/>
    <x v="1"/>
    <s v="Renovação"/>
    <s v="391.888.142-36"/>
    <s v="39188814236"/>
    <n v="2313"/>
    <n v="9621"/>
    <n v="0"/>
    <n v="0"/>
    <n v="1"/>
    <n v="2313"/>
    <x v="24"/>
    <x v="0"/>
    <d v="2022-06-01T00:00:00"/>
  </r>
  <r>
    <s v="Cliente 425"/>
    <x v="4"/>
    <x v="2"/>
    <x v="0"/>
    <s v="Renovação"/>
    <s v="393.854.597-05"/>
    <s v="39385459705"/>
    <n v="4769"/>
    <n v="9480"/>
    <n v="0"/>
    <n v="0"/>
    <n v="1"/>
    <n v="4769"/>
    <x v="81"/>
    <x v="0"/>
    <d v="2022-06-01T00:00:00"/>
  </r>
  <r>
    <s v="Cliente 545"/>
    <x v="6"/>
    <x v="1"/>
    <x v="0"/>
    <s v="Novo"/>
    <s v="397.451.430-13"/>
    <s v="39745143013"/>
    <n v="3916"/>
    <n v="0"/>
    <n v="3916"/>
    <n v="783.2"/>
    <n v="1"/>
    <n v="3916"/>
    <x v="70"/>
    <x v="3"/>
    <d v="2022-04-01T00:00:00"/>
  </r>
  <r>
    <s v="Cliente 50"/>
    <x v="7"/>
    <x v="1"/>
    <x v="1"/>
    <s v="Renovação"/>
    <s v="400.225.725-12"/>
    <s v="40022572512"/>
    <n v="1507"/>
    <n v="8690"/>
    <n v="0"/>
    <n v="0"/>
    <n v="0"/>
    <n v="0"/>
    <x v="10"/>
    <x v="4"/>
    <b v="0"/>
  </r>
  <r>
    <s v="Cliente 53"/>
    <x v="1"/>
    <x v="1"/>
    <x v="1"/>
    <s v="Renovação"/>
    <s v="402.853.074-40"/>
    <s v="40285307440"/>
    <n v="5005"/>
    <n v="5624"/>
    <n v="0"/>
    <n v="0"/>
    <n v="1"/>
    <n v="5005"/>
    <x v="68"/>
    <x v="7"/>
    <d v="2022-07-01T00:00:00"/>
  </r>
  <r>
    <s v="Cliente 426"/>
    <x v="3"/>
    <x v="2"/>
    <x v="0"/>
    <s v="Renovação"/>
    <s v="405.124.715-66"/>
    <s v="40512471566"/>
    <n v="1517"/>
    <n v="8926"/>
    <n v="0"/>
    <n v="0"/>
    <n v="1"/>
    <n v="1517"/>
    <x v="56"/>
    <x v="6"/>
    <d v="2022-04-01T00:00:00"/>
  </r>
  <r>
    <s v="Cliente 96"/>
    <x v="7"/>
    <x v="1"/>
    <x v="1"/>
    <s v="Renovação"/>
    <s v="405.449.523-45"/>
    <s v="40544952345"/>
    <n v="7064"/>
    <n v="9044"/>
    <n v="0"/>
    <n v="0"/>
    <n v="0"/>
    <n v="0"/>
    <x v="10"/>
    <x v="4"/>
    <b v="0"/>
  </r>
  <r>
    <s v="Cliente 338"/>
    <x v="7"/>
    <x v="1"/>
    <x v="0"/>
    <s v="Renovação"/>
    <s v="406.975.556-04"/>
    <s v="40697555604"/>
    <n v="4326"/>
    <n v="6213"/>
    <n v="0"/>
    <n v="0"/>
    <n v="1"/>
    <n v="4326"/>
    <x v="3"/>
    <x v="7"/>
    <d v="2022-07-01T00:00:00"/>
  </r>
  <r>
    <s v="Cliente 380"/>
    <x v="0"/>
    <x v="0"/>
    <x v="0"/>
    <s v="Renovação"/>
    <s v="412.107.582-81"/>
    <s v="41210758281"/>
    <n v="2507"/>
    <n v="3834"/>
    <n v="0"/>
    <n v="0"/>
    <n v="1"/>
    <n v="2507"/>
    <x v="56"/>
    <x v="6"/>
    <d v="2022-04-01T00:00:00"/>
  </r>
  <r>
    <s v="Cliente 550"/>
    <x v="2"/>
    <x v="2"/>
    <x v="0"/>
    <s v="Novo"/>
    <s v="415.014.117-78"/>
    <s v="41501411778"/>
    <n v="8981"/>
    <n v="0"/>
    <n v="8981"/>
    <n v="1796.2"/>
    <n v="1"/>
    <n v="8981"/>
    <x v="102"/>
    <x v="0"/>
    <d v="2022-06-01T00:00:00"/>
  </r>
  <r>
    <s v="Cliente 389"/>
    <x v="4"/>
    <x v="2"/>
    <x v="0"/>
    <s v="Renovação"/>
    <s v="416.684.866-15"/>
    <s v="41668486615"/>
    <n v="5567"/>
    <n v="3239"/>
    <n v="2328"/>
    <n v="465.6"/>
    <n v="1"/>
    <n v="5567"/>
    <x v="116"/>
    <x v="0"/>
    <d v="2022-06-01T00:00:00"/>
  </r>
  <r>
    <s v="Cliente 16"/>
    <x v="3"/>
    <x v="2"/>
    <x v="1"/>
    <s v="Renovação"/>
    <s v="426.085.686-18"/>
    <s v="42608568618"/>
    <n v="5549"/>
    <n v="2361"/>
    <n v="3188"/>
    <n v="956.4"/>
    <n v="1"/>
    <n v="5549"/>
    <x v="113"/>
    <x v="0"/>
    <d v="2022-06-01T00:00:00"/>
  </r>
  <r>
    <s v="Cliente 349"/>
    <x v="1"/>
    <x v="1"/>
    <x v="0"/>
    <s v="Renovação"/>
    <s v="433.228.729-24"/>
    <s v="43322872924"/>
    <n v="6398"/>
    <n v="2586"/>
    <n v="3812"/>
    <n v="762.40000000000009"/>
    <n v="1"/>
    <n v="6398"/>
    <x v="27"/>
    <x v="1"/>
    <d v="2022-05-01T00:00:00"/>
  </r>
  <r>
    <s v="Cliente 198"/>
    <x v="0"/>
    <x v="0"/>
    <x v="1"/>
    <s v="Novo"/>
    <s v="433.798.249-55"/>
    <s v="43379824955"/>
    <n v="3384"/>
    <n v="0"/>
    <n v="3384"/>
    <n v="1015.1999999999999"/>
    <n v="1"/>
    <n v="3384"/>
    <x v="27"/>
    <x v="8"/>
    <d v="2022-05-01T00:00:00"/>
  </r>
  <r>
    <s v="Cliente 265"/>
    <x v="7"/>
    <x v="1"/>
    <x v="1"/>
    <s v="Novo"/>
    <s v="434.073.594-04"/>
    <s v="43407359404"/>
    <n v="9065"/>
    <n v="0"/>
    <n v="9065"/>
    <n v="2719.5"/>
    <n v="1"/>
    <n v="9065"/>
    <x v="16"/>
    <x v="3"/>
    <d v="2022-04-01T00:00:00"/>
  </r>
  <r>
    <s v="Cliente 522"/>
    <x v="3"/>
    <x v="2"/>
    <x v="0"/>
    <s v="Novo"/>
    <s v="435.079.397-92"/>
    <s v="43507939792"/>
    <n v="5812"/>
    <n v="0"/>
    <n v="5812"/>
    <n v="1162.4000000000001"/>
    <n v="1"/>
    <n v="5812"/>
    <x v="100"/>
    <x v="8"/>
    <d v="2022-05-01T00:00:00"/>
  </r>
  <r>
    <s v="Cliente 356"/>
    <x v="2"/>
    <x v="2"/>
    <x v="0"/>
    <s v="Renovação"/>
    <s v="435.596.991-68"/>
    <s v="43559699168"/>
    <n v="3716"/>
    <n v="7860"/>
    <n v="0"/>
    <n v="0"/>
    <n v="1"/>
    <n v="3716"/>
    <x v="83"/>
    <x v="0"/>
    <d v="2022-06-01T00:00:00"/>
  </r>
  <r>
    <s v="Cliente 7"/>
    <x v="0"/>
    <x v="0"/>
    <x v="1"/>
    <s v="Renovação"/>
    <s v="436.087.234-05"/>
    <s v="43608723405"/>
    <n v="4269"/>
    <n v="3243"/>
    <n v="1026"/>
    <n v="307.8"/>
    <n v="1"/>
    <n v="4269"/>
    <x v="58"/>
    <x v="2"/>
    <d v="2022-07-01T00:00:00"/>
  </r>
  <r>
    <s v="Cliente 32"/>
    <x v="3"/>
    <x v="2"/>
    <x v="1"/>
    <s v="Renovação"/>
    <s v="436.999.748-83"/>
    <s v="43699974883"/>
    <n v="8844"/>
    <n v="6170"/>
    <n v="2674"/>
    <n v="0"/>
    <n v="0"/>
    <n v="0"/>
    <x v="10"/>
    <x v="5"/>
    <b v="0"/>
  </r>
  <r>
    <s v="Cliente 155"/>
    <x v="0"/>
    <x v="0"/>
    <x v="1"/>
    <s v="Novo"/>
    <s v="438.672.270-88"/>
    <s v="43867227088"/>
    <n v="4662"/>
    <n v="0"/>
    <n v="4662"/>
    <n v="1398.6"/>
    <n v="1"/>
    <n v="4662"/>
    <x v="31"/>
    <x v="6"/>
    <d v="2022-04-01T00:00:00"/>
  </r>
  <r>
    <s v="Cliente 315"/>
    <x v="6"/>
    <x v="1"/>
    <x v="0"/>
    <s v="Renovação"/>
    <s v="443.253.160-48"/>
    <s v="44325316048"/>
    <n v="5785"/>
    <n v="6155"/>
    <n v="0"/>
    <n v="0"/>
    <n v="1"/>
    <n v="5785"/>
    <x v="100"/>
    <x v="1"/>
    <d v="2022-05-01T00:00:00"/>
  </r>
  <r>
    <s v="Cliente 463"/>
    <x v="4"/>
    <x v="2"/>
    <x v="0"/>
    <s v="Novo"/>
    <s v="444.153.705-72"/>
    <s v="44415370572"/>
    <n v="6874"/>
    <n v="0"/>
    <n v="6874"/>
    <n v="1374.8000000000002"/>
    <n v="1"/>
    <n v="6874"/>
    <x v="82"/>
    <x v="8"/>
    <d v="2022-05-01T00:00:00"/>
  </r>
  <r>
    <s v="Cliente 286"/>
    <x v="0"/>
    <x v="0"/>
    <x v="1"/>
    <s v="Novo"/>
    <s v="444.526.192-35"/>
    <s v="44452619235"/>
    <n v="2233"/>
    <n v="0"/>
    <n v="2233"/>
    <n v="669.9"/>
    <n v="1"/>
    <n v="2233"/>
    <x v="81"/>
    <x v="0"/>
    <d v="2022-06-01T00:00:00"/>
  </r>
  <r>
    <s v="Cliente 509"/>
    <x v="2"/>
    <x v="2"/>
    <x v="0"/>
    <s v="Novo"/>
    <s v="446.708.769-76"/>
    <s v="44670876976"/>
    <n v="3659"/>
    <n v="0"/>
    <n v="3659"/>
    <n v="731.80000000000007"/>
    <n v="1"/>
    <n v="3659"/>
    <x v="106"/>
    <x v="6"/>
    <d v="2022-04-01T00:00:00"/>
  </r>
  <r>
    <s v="Cliente 200"/>
    <x v="2"/>
    <x v="2"/>
    <x v="1"/>
    <s v="Novo"/>
    <s v="448.209.742-58"/>
    <s v="44820974258"/>
    <n v="5540"/>
    <n v="0"/>
    <n v="5540"/>
    <n v="1662"/>
    <n v="1"/>
    <n v="5540"/>
    <x v="61"/>
    <x v="2"/>
    <d v="2022-07-01T00:00:00"/>
  </r>
  <r>
    <s v="Cliente 289"/>
    <x v="1"/>
    <x v="1"/>
    <x v="1"/>
    <s v="Novo"/>
    <s v="448.373.295-94"/>
    <s v="44837329594"/>
    <n v="6969"/>
    <n v="0"/>
    <n v="6969"/>
    <n v="2090.6999999999998"/>
    <n v="1"/>
    <n v="6969"/>
    <x v="103"/>
    <x v="1"/>
    <d v="2022-05-01T00:00:00"/>
  </r>
  <r>
    <s v="Cliente 175"/>
    <x v="0"/>
    <x v="0"/>
    <x v="1"/>
    <s v="Novo"/>
    <s v="450.700.891-21"/>
    <s v="45070089121"/>
    <n v="7131"/>
    <n v="0"/>
    <n v="7131"/>
    <n v="2139.2999999999997"/>
    <n v="1"/>
    <n v="7131"/>
    <x v="57"/>
    <x v="8"/>
    <d v="2022-05-01T00:00:00"/>
  </r>
  <r>
    <s v="Cliente 106"/>
    <x v="5"/>
    <x v="0"/>
    <x v="1"/>
    <s v="Renovação"/>
    <s v="455.752.068-43"/>
    <s v="45575206843"/>
    <n v="8629"/>
    <n v="6633"/>
    <n v="1996"/>
    <n v="598.79999999999995"/>
    <n v="1"/>
    <n v="8629"/>
    <x v="109"/>
    <x v="2"/>
    <d v="2022-07-01T00:00:00"/>
  </r>
  <r>
    <s v="Cliente 488"/>
    <x v="1"/>
    <x v="1"/>
    <x v="0"/>
    <s v="Novo"/>
    <s v="456.980.118-95"/>
    <s v="45698011895"/>
    <n v="5857"/>
    <n v="0"/>
    <n v="5857"/>
    <n v="1171.4000000000001"/>
    <n v="1"/>
    <n v="5857"/>
    <x v="35"/>
    <x v="3"/>
    <d v="2022-04-01T00:00:00"/>
  </r>
  <r>
    <s v="Cliente 99"/>
    <x v="5"/>
    <x v="0"/>
    <x v="1"/>
    <s v="Renovação"/>
    <s v="457.659.402-89"/>
    <s v="45765940289"/>
    <n v="2588"/>
    <n v="9897"/>
    <n v="0"/>
    <n v="0"/>
    <n v="1"/>
    <n v="2588"/>
    <x v="1"/>
    <x v="8"/>
    <d v="2022-05-01T00:00:00"/>
  </r>
  <r>
    <s v="Cliente 167"/>
    <x v="7"/>
    <x v="1"/>
    <x v="1"/>
    <s v="Novo"/>
    <s v="464.281.035-68"/>
    <s v="46428103568"/>
    <n v="4389"/>
    <n v="0"/>
    <n v="4389"/>
    <n v="1316.7"/>
    <n v="1"/>
    <n v="4389"/>
    <x v="117"/>
    <x v="3"/>
    <d v="2022-04-01T00:00:00"/>
  </r>
  <r>
    <s v="Cliente 116"/>
    <x v="6"/>
    <x v="1"/>
    <x v="1"/>
    <s v="Renovação"/>
    <s v="475.554.223-49"/>
    <s v="47555422349"/>
    <n v="7393"/>
    <n v="1393"/>
    <n v="6000"/>
    <n v="0"/>
    <n v="0"/>
    <n v="0"/>
    <x v="10"/>
    <x v="4"/>
    <b v="0"/>
  </r>
  <r>
    <s v="Cliente 411"/>
    <x v="6"/>
    <x v="1"/>
    <x v="0"/>
    <s v="Renovação"/>
    <s v="481.460.252-05"/>
    <s v="48146025205"/>
    <n v="8478"/>
    <n v="7186"/>
    <n v="1292"/>
    <n v="258.40000000000003"/>
    <n v="1"/>
    <n v="8478"/>
    <x v="26"/>
    <x v="9"/>
    <d v="2022-06-01T00:00:00"/>
  </r>
  <r>
    <s v="Cliente 421"/>
    <x v="7"/>
    <x v="1"/>
    <x v="0"/>
    <s v="Renovação"/>
    <s v="487.138.526-38"/>
    <s v="48713852638"/>
    <n v="3421"/>
    <n v="5107"/>
    <n v="0"/>
    <n v="0"/>
    <n v="1"/>
    <n v="3421"/>
    <x v="26"/>
    <x v="9"/>
    <d v="2022-06-01T00:00:00"/>
  </r>
  <r>
    <s v="Cliente 269"/>
    <x v="0"/>
    <x v="0"/>
    <x v="1"/>
    <s v="Novo"/>
    <s v="488.349.083-57"/>
    <s v="48834908357"/>
    <n v="7976"/>
    <n v="0"/>
    <n v="7976"/>
    <n v="2392.7999999999997"/>
    <n v="1"/>
    <n v="7976"/>
    <x v="49"/>
    <x v="0"/>
    <d v="2022-06-01T00:00:00"/>
  </r>
  <r>
    <s v="Cliente 400"/>
    <x v="6"/>
    <x v="1"/>
    <x v="0"/>
    <s v="Renovação"/>
    <s v="488.916.612-42"/>
    <s v="48891661242"/>
    <n v="5805"/>
    <n v="8467"/>
    <n v="0"/>
    <n v="0"/>
    <n v="1"/>
    <n v="5805"/>
    <x v="101"/>
    <x v="9"/>
    <d v="2022-06-01T00:00:00"/>
  </r>
  <r>
    <s v="Cliente 232"/>
    <x v="2"/>
    <x v="2"/>
    <x v="1"/>
    <s v="Novo"/>
    <s v="489.509.814-59"/>
    <s v="48950981459"/>
    <n v="3187"/>
    <n v="0"/>
    <n v="3187"/>
    <n v="956.09999999999991"/>
    <n v="1"/>
    <n v="3187"/>
    <x v="112"/>
    <x v="8"/>
    <d v="2022-05-01T00:00:00"/>
  </r>
  <r>
    <s v="Cliente 398"/>
    <x v="0"/>
    <x v="0"/>
    <x v="0"/>
    <s v="Renovação"/>
    <s v="494.367.951-26"/>
    <s v="49436795126"/>
    <n v="3318"/>
    <n v="9216"/>
    <n v="0"/>
    <n v="0"/>
    <n v="1"/>
    <n v="3318"/>
    <x v="96"/>
    <x v="8"/>
    <d v="2022-05-01T00:00:00"/>
  </r>
  <r>
    <s v="Cliente 78"/>
    <x v="2"/>
    <x v="2"/>
    <x v="1"/>
    <s v="Renovação"/>
    <s v="496.480.674-75"/>
    <s v="49648067475"/>
    <n v="2216"/>
    <n v="9286"/>
    <n v="0"/>
    <n v="0"/>
    <n v="1"/>
    <n v="2216"/>
    <x v="66"/>
    <x v="0"/>
    <d v="2022-06-01T00:00:00"/>
  </r>
  <r>
    <s v="Cliente 267"/>
    <x v="3"/>
    <x v="2"/>
    <x v="1"/>
    <s v="Novo"/>
    <s v="496.482.277-52"/>
    <s v="49648227752"/>
    <n v="4618"/>
    <n v="0"/>
    <n v="4618"/>
    <n v="1385.3999999999999"/>
    <n v="1"/>
    <n v="4618"/>
    <x v="32"/>
    <x v="2"/>
    <d v="2022-07-01T00:00:00"/>
  </r>
  <r>
    <s v="Cliente 345"/>
    <x v="6"/>
    <x v="1"/>
    <x v="0"/>
    <s v="Renovação"/>
    <s v="497.118.419-18"/>
    <s v="49711841918"/>
    <n v="1877"/>
    <n v="6988"/>
    <n v="0"/>
    <n v="0"/>
    <n v="1"/>
    <n v="1877"/>
    <x v="29"/>
    <x v="9"/>
    <d v="2022-06-01T00:00:00"/>
  </r>
  <r>
    <s v="Cliente 66"/>
    <x v="3"/>
    <x v="2"/>
    <x v="1"/>
    <s v="Renovação"/>
    <s v="501.017.473-76"/>
    <s v="50101747376"/>
    <n v="8719"/>
    <n v="1131"/>
    <n v="7588"/>
    <n v="2276.4"/>
    <n v="1"/>
    <n v="8719"/>
    <x v="111"/>
    <x v="0"/>
    <d v="2022-06-01T00:00:00"/>
  </r>
  <r>
    <s v="Cliente 182"/>
    <x v="6"/>
    <x v="1"/>
    <x v="1"/>
    <s v="Novo"/>
    <s v="506.981.484-59"/>
    <s v="50698148459"/>
    <n v="7833"/>
    <n v="0"/>
    <n v="7833"/>
    <n v="2349.9"/>
    <n v="1"/>
    <n v="7833"/>
    <x v="38"/>
    <x v="3"/>
    <d v="2022-04-01T00:00:00"/>
  </r>
  <r>
    <s v="Cliente 575"/>
    <x v="0"/>
    <x v="0"/>
    <x v="0"/>
    <s v="Novo"/>
    <s v="514.156.547-10"/>
    <s v="51415654710"/>
    <n v="7081"/>
    <n v="0"/>
    <n v="7081"/>
    <n v="1416.2"/>
    <n v="1"/>
    <n v="7081"/>
    <x v="104"/>
    <x v="6"/>
    <d v="2022-04-01T00:00:00"/>
  </r>
  <r>
    <s v="Cliente 122"/>
    <x v="0"/>
    <x v="0"/>
    <x v="1"/>
    <s v="Renovação"/>
    <s v="516.346.462-66"/>
    <s v="51634646266"/>
    <n v="3974"/>
    <n v="1826"/>
    <n v="2148"/>
    <n v="644.4"/>
    <n v="1"/>
    <n v="3974"/>
    <x v="101"/>
    <x v="0"/>
    <d v="2022-06-01T00:00:00"/>
  </r>
  <r>
    <s v="Cliente 513"/>
    <x v="7"/>
    <x v="1"/>
    <x v="0"/>
    <s v="Novo"/>
    <s v="518.636.819-67"/>
    <s v="51863681967"/>
    <n v="7046"/>
    <n v="0"/>
    <n v="7046"/>
    <n v="1409.2"/>
    <n v="1"/>
    <n v="7046"/>
    <x v="96"/>
    <x v="1"/>
    <d v="2022-05-01T00:00:00"/>
  </r>
  <r>
    <s v="Cliente 52"/>
    <x v="6"/>
    <x v="1"/>
    <x v="1"/>
    <s v="Renovação"/>
    <s v="520.134.240-44"/>
    <s v="52013424044"/>
    <n v="8092"/>
    <n v="7930"/>
    <n v="162"/>
    <n v="48.6"/>
    <n v="1"/>
    <n v="8092"/>
    <x v="58"/>
    <x v="7"/>
    <d v="2022-07-01T00:00:00"/>
  </r>
  <r>
    <s v="Cliente 204"/>
    <x v="4"/>
    <x v="2"/>
    <x v="1"/>
    <s v="Novo"/>
    <s v="520.980.912-06"/>
    <s v="52098091206"/>
    <n v="5539"/>
    <n v="0"/>
    <n v="5539"/>
    <n v="1661.7"/>
    <n v="1"/>
    <n v="5539"/>
    <x v="97"/>
    <x v="0"/>
    <d v="2022-06-01T00:00:00"/>
  </r>
  <r>
    <s v="Cliente 529"/>
    <x v="4"/>
    <x v="2"/>
    <x v="0"/>
    <s v="Novo"/>
    <s v="529.693.934-31"/>
    <s v="52969393431"/>
    <n v="4042"/>
    <n v="0"/>
    <n v="4042"/>
    <n v="808.40000000000009"/>
    <n v="1"/>
    <n v="4042"/>
    <x v="118"/>
    <x v="6"/>
    <d v="2022-04-01T00:00:00"/>
  </r>
  <r>
    <s v="Cliente 597"/>
    <x v="5"/>
    <x v="0"/>
    <x v="0"/>
    <s v="Novo"/>
    <s v="530.000.442-81"/>
    <s v="53000044281"/>
    <n v="7083"/>
    <n v="0"/>
    <n v="7083"/>
    <n v="1416.6000000000001"/>
    <n v="1"/>
    <n v="7083"/>
    <x v="84"/>
    <x v="6"/>
    <d v="2022-04-01T00:00:00"/>
  </r>
  <r>
    <s v="Cliente 37"/>
    <x v="0"/>
    <x v="0"/>
    <x v="1"/>
    <s v="Renovação"/>
    <s v="531.576.575-24"/>
    <s v="53157657524"/>
    <n v="1899"/>
    <n v="2987"/>
    <n v="0"/>
    <n v="0"/>
    <n v="1"/>
    <n v="1899"/>
    <x v="16"/>
    <x v="6"/>
    <d v="2022-04-01T00:00:00"/>
  </r>
  <r>
    <s v="Cliente 562"/>
    <x v="7"/>
    <x v="1"/>
    <x v="0"/>
    <s v="Novo"/>
    <s v="532.337.700-82"/>
    <s v="53233770082"/>
    <n v="7130"/>
    <n v="0"/>
    <n v="7130"/>
    <n v="1426"/>
    <n v="1"/>
    <n v="7130"/>
    <x v="3"/>
    <x v="7"/>
    <d v="2022-07-01T00:00:00"/>
  </r>
  <r>
    <s v="Cliente 525"/>
    <x v="4"/>
    <x v="2"/>
    <x v="0"/>
    <s v="Novo"/>
    <s v="538.893.602-69"/>
    <s v="53889360269"/>
    <n v="3453"/>
    <n v="0"/>
    <n v="3453"/>
    <n v="690.6"/>
    <n v="1"/>
    <n v="3453"/>
    <x v="49"/>
    <x v="0"/>
    <d v="2022-06-01T00:00:00"/>
  </r>
  <r>
    <s v="Cliente 239"/>
    <x v="3"/>
    <x v="2"/>
    <x v="1"/>
    <s v="Novo"/>
    <s v="539.897.551-07"/>
    <s v="53989755107"/>
    <n v="1855"/>
    <n v="0"/>
    <n v="1855"/>
    <n v="556.5"/>
    <n v="1"/>
    <n v="1855"/>
    <x v="16"/>
    <x v="6"/>
    <d v="2022-04-01T00:00:00"/>
  </r>
  <r>
    <s v="Cliente 377"/>
    <x v="3"/>
    <x v="2"/>
    <x v="0"/>
    <s v="Renovação"/>
    <s v="540.600.676-33"/>
    <s v="54060067633"/>
    <n v="8360"/>
    <n v="3945"/>
    <n v="4415"/>
    <n v="883"/>
    <n v="1"/>
    <n v="8360"/>
    <x v="70"/>
    <x v="6"/>
    <d v="2022-04-01T00:00:00"/>
  </r>
  <r>
    <s v="Cliente 276"/>
    <x v="3"/>
    <x v="2"/>
    <x v="1"/>
    <s v="Novo"/>
    <s v="541.362.908-11"/>
    <s v="54136290811"/>
    <n v="8054"/>
    <n v="0"/>
    <n v="8054"/>
    <n v="2416.1999999999998"/>
    <n v="1"/>
    <n v="8054"/>
    <x v="29"/>
    <x v="0"/>
    <d v="2022-06-01T00:00:00"/>
  </r>
  <r>
    <s v="Cliente 215"/>
    <x v="3"/>
    <x v="2"/>
    <x v="1"/>
    <s v="Novo"/>
    <s v="544.152.659-92"/>
    <s v="54415265992"/>
    <n v="7702"/>
    <n v="0"/>
    <n v="7702"/>
    <n v="2310.6"/>
    <n v="1"/>
    <n v="7702"/>
    <x v="90"/>
    <x v="8"/>
    <d v="2022-05-01T00:00:00"/>
  </r>
  <r>
    <s v="Cliente 466"/>
    <x v="5"/>
    <x v="0"/>
    <x v="0"/>
    <s v="Novo"/>
    <s v="544.925.756-76"/>
    <s v="54492575676"/>
    <n v="2498"/>
    <n v="0"/>
    <n v="2498"/>
    <n v="499.6"/>
    <n v="1"/>
    <n v="2498"/>
    <x v="74"/>
    <x v="8"/>
    <d v="2022-05-01T00:00:00"/>
  </r>
  <r>
    <s v="Cliente 302"/>
    <x v="0"/>
    <x v="0"/>
    <x v="0"/>
    <s v="Renovação"/>
    <s v="548.738.042-16"/>
    <s v="54873804216"/>
    <n v="5200"/>
    <n v="1014"/>
    <n v="4186"/>
    <n v="837.2"/>
    <n v="1"/>
    <n v="5200"/>
    <x v="13"/>
    <x v="6"/>
    <d v="2022-04-01T00:00:00"/>
  </r>
  <r>
    <s v="Cliente 190"/>
    <x v="1"/>
    <x v="1"/>
    <x v="1"/>
    <s v="Novo"/>
    <s v="553.208.551-28"/>
    <s v="55320855128"/>
    <n v="5145"/>
    <n v="0"/>
    <n v="5145"/>
    <n v="1543.5"/>
    <n v="1"/>
    <n v="5145"/>
    <x v="77"/>
    <x v="7"/>
    <d v="2022-07-01T00:00:00"/>
  </r>
  <r>
    <s v="Cliente 44"/>
    <x v="3"/>
    <x v="2"/>
    <x v="1"/>
    <s v="Renovação"/>
    <s v="557.019.068-22"/>
    <s v="55701906822"/>
    <n v="6925"/>
    <n v="5859"/>
    <n v="1066"/>
    <n v="319.8"/>
    <n v="1"/>
    <n v="6925"/>
    <x v="107"/>
    <x v="6"/>
    <d v="2022-04-01T00:00:00"/>
  </r>
  <r>
    <s v="Cliente 272"/>
    <x v="6"/>
    <x v="1"/>
    <x v="1"/>
    <s v="Novo"/>
    <s v="557.924.884-31"/>
    <s v="55792488431"/>
    <n v="5320"/>
    <n v="0"/>
    <n v="5320"/>
    <n v="1596"/>
    <n v="1"/>
    <n v="5320"/>
    <x v="37"/>
    <x v="9"/>
    <d v="2022-06-01T00:00:00"/>
  </r>
  <r>
    <s v="Cliente 81"/>
    <x v="3"/>
    <x v="2"/>
    <x v="1"/>
    <s v="Renovação"/>
    <s v="565.399.055-34"/>
    <s v="56539905534"/>
    <n v="8659"/>
    <n v="6044"/>
    <n v="2615"/>
    <n v="784.5"/>
    <n v="1"/>
    <n v="8659"/>
    <x v="83"/>
    <x v="0"/>
    <d v="2022-06-01T00:00:00"/>
  </r>
  <r>
    <s v="Cliente 357"/>
    <x v="5"/>
    <x v="0"/>
    <x v="0"/>
    <s v="Renovação"/>
    <s v="575.524.588-33"/>
    <s v="57552458833"/>
    <n v="6150"/>
    <n v="9327"/>
    <n v="0"/>
    <n v="0"/>
    <n v="1"/>
    <n v="6150"/>
    <x v="63"/>
    <x v="6"/>
    <d v="2022-04-01T00:00:00"/>
  </r>
  <r>
    <s v="Cliente 450"/>
    <x v="0"/>
    <x v="0"/>
    <x v="0"/>
    <s v="Renovação"/>
    <s v="581.489.991-67"/>
    <s v="58148999167"/>
    <n v="5933"/>
    <n v="3439"/>
    <n v="2494"/>
    <n v="498.8"/>
    <n v="1"/>
    <n v="5933"/>
    <x v="63"/>
    <x v="6"/>
    <d v="2022-04-01T00:00:00"/>
  </r>
  <r>
    <s v="Cliente 491"/>
    <x v="3"/>
    <x v="2"/>
    <x v="0"/>
    <s v="Novo"/>
    <s v="582.495.149-67"/>
    <s v="58249514967"/>
    <n v="3145"/>
    <n v="0"/>
    <n v="3145"/>
    <n v="629"/>
    <n v="1"/>
    <n v="3145"/>
    <x v="25"/>
    <x v="0"/>
    <d v="2022-06-01T00:00:00"/>
  </r>
  <r>
    <s v="Cliente 344"/>
    <x v="2"/>
    <x v="2"/>
    <x v="0"/>
    <s v="Renovação"/>
    <s v="582.708.610-88"/>
    <s v="58270861088"/>
    <n v="9871"/>
    <n v="7828"/>
    <n v="2043"/>
    <n v="408.6"/>
    <n v="1"/>
    <n v="9871"/>
    <x v="64"/>
    <x v="2"/>
    <d v="2022-07-01T00:00:00"/>
  </r>
  <r>
    <s v="Cliente 526"/>
    <x v="7"/>
    <x v="1"/>
    <x v="0"/>
    <s v="Novo"/>
    <s v="587.409.575-91"/>
    <s v="58740957591"/>
    <n v="2661"/>
    <n v="0"/>
    <n v="2661"/>
    <n v="532.20000000000005"/>
    <n v="1"/>
    <n v="2661"/>
    <x v="8"/>
    <x v="3"/>
    <d v="2022-04-01T00:00:00"/>
  </r>
  <r>
    <s v="Cliente 225"/>
    <x v="7"/>
    <x v="1"/>
    <x v="1"/>
    <s v="Novo"/>
    <s v="592.806.350-17"/>
    <s v="59280635017"/>
    <n v="2657"/>
    <n v="0"/>
    <n v="2657"/>
    <n v="797.1"/>
    <n v="1"/>
    <n v="2657"/>
    <x v="99"/>
    <x v="9"/>
    <d v="2022-06-01T00:00:00"/>
  </r>
  <r>
    <s v="Cliente 20"/>
    <x v="0"/>
    <x v="0"/>
    <x v="1"/>
    <s v="Renovação"/>
    <s v="593.243.931-16"/>
    <s v="59324393116"/>
    <n v="1040"/>
    <n v="6374"/>
    <n v="0"/>
    <n v="0"/>
    <n v="1"/>
    <n v="1040"/>
    <x v="110"/>
    <x v="0"/>
    <d v="2022-06-01T00:00:00"/>
  </r>
  <r>
    <s v="Cliente 310"/>
    <x v="6"/>
    <x v="1"/>
    <x v="0"/>
    <s v="Renovação"/>
    <s v="594.625.346-58"/>
    <s v="59462534658"/>
    <n v="9269"/>
    <n v="1360"/>
    <n v="7909"/>
    <n v="1581.8000000000002"/>
    <n v="1"/>
    <n v="9269"/>
    <x v="119"/>
    <x v="7"/>
    <d v="2022-07-01T00:00:00"/>
  </r>
  <r>
    <s v="Cliente 3"/>
    <x v="4"/>
    <x v="2"/>
    <x v="1"/>
    <s v="Renovação"/>
    <s v="596.733.289-83"/>
    <s v="59673328983"/>
    <n v="1138"/>
    <n v="1579"/>
    <n v="0"/>
    <n v="0"/>
    <n v="0"/>
    <n v="0"/>
    <x v="10"/>
    <x v="5"/>
    <b v="0"/>
  </r>
  <r>
    <s v="Cliente 213"/>
    <x v="7"/>
    <x v="1"/>
    <x v="1"/>
    <s v="Novo"/>
    <s v="600.214.637-33"/>
    <s v="60021463733"/>
    <n v="7477"/>
    <n v="0"/>
    <n v="7477"/>
    <n v="2243.1"/>
    <n v="1"/>
    <n v="7477"/>
    <x v="54"/>
    <x v="3"/>
    <d v="2022-04-01T00:00:00"/>
  </r>
  <r>
    <s v="Cliente 59"/>
    <x v="4"/>
    <x v="2"/>
    <x v="1"/>
    <s v="Renovação"/>
    <s v="600.958.643-07"/>
    <s v="60095864307"/>
    <n v="2991"/>
    <n v="5278"/>
    <n v="0"/>
    <n v="0"/>
    <n v="0"/>
    <n v="0"/>
    <x v="10"/>
    <x v="5"/>
    <b v="0"/>
  </r>
  <r>
    <s v="Cliente 226"/>
    <x v="0"/>
    <x v="0"/>
    <x v="1"/>
    <s v="Novo"/>
    <s v="602.714.682-86"/>
    <s v="60271468286"/>
    <n v="2576"/>
    <n v="0"/>
    <n v="2576"/>
    <n v="772.8"/>
    <n v="1"/>
    <n v="2576"/>
    <x v="116"/>
    <x v="0"/>
    <d v="2022-06-01T00:00:00"/>
  </r>
  <r>
    <s v="Cliente 453"/>
    <x v="2"/>
    <x v="2"/>
    <x v="0"/>
    <s v="Novo"/>
    <s v="607.192.453-11"/>
    <s v="60719245311"/>
    <n v="5647"/>
    <n v="0"/>
    <n v="5647"/>
    <n v="1129.4000000000001"/>
    <n v="1"/>
    <n v="5647"/>
    <x v="37"/>
    <x v="0"/>
    <d v="2022-06-01T00:00:00"/>
  </r>
  <r>
    <s v="Cliente 553"/>
    <x v="3"/>
    <x v="2"/>
    <x v="0"/>
    <s v="Novo"/>
    <s v="609.541.669-54"/>
    <s v="60954166954"/>
    <n v="9349"/>
    <n v="0"/>
    <n v="9349"/>
    <n v="1869.8000000000002"/>
    <n v="1"/>
    <n v="9349"/>
    <x v="17"/>
    <x v="2"/>
    <d v="2022-07-01T00:00:00"/>
  </r>
  <r>
    <s v="Cliente 47"/>
    <x v="1"/>
    <x v="1"/>
    <x v="1"/>
    <s v="Renovação"/>
    <s v="612.065.233-08"/>
    <s v="61206523308"/>
    <n v="7353"/>
    <n v="7578"/>
    <n v="0"/>
    <n v="0"/>
    <n v="1"/>
    <n v="7353"/>
    <x v="61"/>
    <x v="7"/>
    <d v="2022-07-01T00:00:00"/>
  </r>
  <r>
    <s v="Cliente 417"/>
    <x v="2"/>
    <x v="2"/>
    <x v="0"/>
    <s v="Renovação"/>
    <s v="613.029.616-29"/>
    <s v="61302961629"/>
    <n v="2745"/>
    <n v="3269"/>
    <n v="0"/>
    <n v="0"/>
    <n v="1"/>
    <n v="2745"/>
    <x v="112"/>
    <x v="8"/>
    <d v="2022-05-01T00:00:00"/>
  </r>
  <r>
    <s v="Cliente 528"/>
    <x v="2"/>
    <x v="2"/>
    <x v="0"/>
    <s v="Novo"/>
    <s v="614.432.630-45"/>
    <s v="61443263045"/>
    <n v="6201"/>
    <n v="0"/>
    <n v="6201"/>
    <n v="1240.2"/>
    <n v="1"/>
    <n v="6201"/>
    <x v="120"/>
    <x v="0"/>
    <d v="2022-06-01T00:00:00"/>
  </r>
  <r>
    <s v="Cliente 487"/>
    <x v="5"/>
    <x v="0"/>
    <x v="0"/>
    <s v="Novo"/>
    <s v="614.658.481-18"/>
    <s v="61465848118"/>
    <n v="2466"/>
    <n v="0"/>
    <n v="2466"/>
    <n v="493.20000000000005"/>
    <n v="1"/>
    <n v="2466"/>
    <x v="44"/>
    <x v="8"/>
    <d v="2022-05-01T00:00:00"/>
  </r>
  <r>
    <s v="Cliente 176"/>
    <x v="3"/>
    <x v="2"/>
    <x v="1"/>
    <s v="Novo"/>
    <s v="616.686.805-88"/>
    <s v="61668680588"/>
    <n v="1499"/>
    <n v="0"/>
    <n v="1499"/>
    <n v="449.7"/>
    <n v="1"/>
    <n v="1499"/>
    <x v="2"/>
    <x v="2"/>
    <d v="2022-07-01T00:00:00"/>
  </r>
  <r>
    <s v="Cliente 18"/>
    <x v="4"/>
    <x v="2"/>
    <x v="1"/>
    <s v="Renovação"/>
    <s v="619.394.752-16"/>
    <s v="61939475216"/>
    <n v="4083"/>
    <n v="4322"/>
    <n v="0"/>
    <n v="0"/>
    <n v="1"/>
    <n v="4083"/>
    <x v="103"/>
    <x v="8"/>
    <d v="2022-05-01T00:00:00"/>
  </r>
  <r>
    <s v="Cliente 154"/>
    <x v="6"/>
    <x v="1"/>
    <x v="1"/>
    <s v="Novo"/>
    <s v="621.313.468-36"/>
    <s v="62131346836"/>
    <n v="3345"/>
    <n v="0"/>
    <n v="3345"/>
    <n v="1003.5"/>
    <n v="1"/>
    <n v="3345"/>
    <x v="79"/>
    <x v="3"/>
    <d v="2022-04-01T00:00:00"/>
  </r>
  <r>
    <s v="Cliente 501"/>
    <x v="0"/>
    <x v="0"/>
    <x v="0"/>
    <s v="Novo"/>
    <s v="624.839.370-26"/>
    <s v="62483937026"/>
    <n v="1696"/>
    <n v="0"/>
    <n v="1696"/>
    <n v="339.20000000000005"/>
    <n v="1"/>
    <n v="1696"/>
    <x v="20"/>
    <x v="0"/>
    <d v="2022-06-01T00:00:00"/>
  </r>
  <r>
    <s v="Cliente 567"/>
    <x v="6"/>
    <x v="1"/>
    <x v="0"/>
    <s v="Novo"/>
    <s v="627.164.829-94"/>
    <s v="62716482994"/>
    <n v="7765"/>
    <n v="0"/>
    <n v="7765"/>
    <n v="1553"/>
    <n v="1"/>
    <n v="7765"/>
    <x v="41"/>
    <x v="1"/>
    <d v="2022-05-01T00:00:00"/>
  </r>
  <r>
    <s v="Cliente 95"/>
    <x v="3"/>
    <x v="2"/>
    <x v="1"/>
    <s v="Renovação"/>
    <s v="630.530.833-25"/>
    <s v="63053083325"/>
    <n v="2776"/>
    <n v="7311"/>
    <n v="0"/>
    <n v="0"/>
    <n v="1"/>
    <n v="2776"/>
    <x v="47"/>
    <x v="0"/>
    <d v="2022-06-01T00:00:00"/>
  </r>
  <r>
    <s v="Cliente 161"/>
    <x v="4"/>
    <x v="2"/>
    <x v="1"/>
    <s v="Novo"/>
    <s v="638.004.298-41"/>
    <s v="63800429841"/>
    <n v="3247"/>
    <n v="0"/>
    <n v="3247"/>
    <n v="974.09999999999991"/>
    <n v="1"/>
    <n v="3247"/>
    <x v="50"/>
    <x v="2"/>
    <d v="2022-07-01T00:00:00"/>
  </r>
  <r>
    <s v="Cliente 579"/>
    <x v="4"/>
    <x v="2"/>
    <x v="0"/>
    <s v="Novo"/>
    <s v="639.958.067-79"/>
    <s v="63995806779"/>
    <n v="2402"/>
    <n v="0"/>
    <n v="2402"/>
    <n v="480.40000000000003"/>
    <n v="1"/>
    <n v="2402"/>
    <x v="30"/>
    <x v="0"/>
    <d v="2022-06-01T00:00:00"/>
  </r>
  <r>
    <s v="Cliente 333"/>
    <x v="7"/>
    <x v="1"/>
    <x v="0"/>
    <s v="Renovação"/>
    <s v="641.768.995-42"/>
    <s v="64176899542"/>
    <n v="6177"/>
    <n v="7283"/>
    <n v="0"/>
    <n v="0"/>
    <n v="1"/>
    <n v="6177"/>
    <x v="116"/>
    <x v="9"/>
    <d v="2022-06-01T00:00:00"/>
  </r>
  <r>
    <s v="Cliente 478"/>
    <x v="4"/>
    <x v="2"/>
    <x v="0"/>
    <s v="Novo"/>
    <s v="643.637.479-54"/>
    <s v="64363747954"/>
    <n v="5065"/>
    <n v="0"/>
    <n v="5065"/>
    <n v="1013"/>
    <n v="1"/>
    <n v="5065"/>
    <x v="48"/>
    <x v="8"/>
    <d v="2022-05-01T00:00:00"/>
  </r>
  <r>
    <s v="Cliente 261"/>
    <x v="4"/>
    <x v="2"/>
    <x v="1"/>
    <s v="Novo"/>
    <s v="650.613.294-38"/>
    <s v="65061329438"/>
    <n v="9529"/>
    <n v="0"/>
    <n v="9529"/>
    <n v="2858.7"/>
    <n v="1"/>
    <n v="9529"/>
    <x v="116"/>
    <x v="0"/>
    <d v="2022-06-01T00:00:00"/>
  </r>
  <r>
    <s v="Cliente 278"/>
    <x v="7"/>
    <x v="1"/>
    <x v="1"/>
    <s v="Novo"/>
    <s v="663.701.309-09"/>
    <s v="66370130909"/>
    <n v="7726"/>
    <n v="0"/>
    <n v="7726"/>
    <n v="2317.7999999999997"/>
    <n v="1"/>
    <n v="7726"/>
    <x v="2"/>
    <x v="7"/>
    <d v="2022-07-01T00:00:00"/>
  </r>
  <r>
    <s v="Cliente 28"/>
    <x v="7"/>
    <x v="1"/>
    <x v="1"/>
    <s v="Renovação"/>
    <s v="669.536.990-20"/>
    <s v="66953699020"/>
    <n v="9568"/>
    <n v="6538"/>
    <n v="3030"/>
    <n v="909"/>
    <n v="1"/>
    <n v="9568"/>
    <x v="104"/>
    <x v="3"/>
    <d v="2022-04-01T00:00:00"/>
  </r>
  <r>
    <s v="Cliente 359"/>
    <x v="0"/>
    <x v="0"/>
    <x v="0"/>
    <s v="Renovação"/>
    <s v="674.860.431-16"/>
    <s v="67486043116"/>
    <n v="2655"/>
    <n v="7153"/>
    <n v="0"/>
    <n v="0"/>
    <n v="1"/>
    <n v="2655"/>
    <x v="66"/>
    <x v="0"/>
    <d v="2022-06-01T00:00:00"/>
  </r>
  <r>
    <s v="Cliente 542"/>
    <x v="1"/>
    <x v="1"/>
    <x v="0"/>
    <s v="Novo"/>
    <s v="675.340.694-30"/>
    <s v="67534069430"/>
    <n v="8219"/>
    <n v="0"/>
    <n v="8219"/>
    <n v="1643.8000000000002"/>
    <n v="1"/>
    <n v="8219"/>
    <x v="50"/>
    <x v="7"/>
    <d v="2022-07-01T00:00:00"/>
  </r>
  <r>
    <s v="Cliente 218"/>
    <x v="0"/>
    <x v="0"/>
    <x v="1"/>
    <s v="Novo"/>
    <s v="676.124.399-07"/>
    <s v="67612439907"/>
    <n v="7204"/>
    <n v="0"/>
    <n v="7204"/>
    <n v="2161.1999999999998"/>
    <n v="1"/>
    <n v="7204"/>
    <x v="112"/>
    <x v="8"/>
    <d v="2022-05-01T00:00:00"/>
  </r>
  <r>
    <s v="Cliente 160"/>
    <x v="6"/>
    <x v="1"/>
    <x v="1"/>
    <s v="Novo"/>
    <s v="677.232.366-75"/>
    <s v="67723236675"/>
    <n v="3043"/>
    <n v="0"/>
    <n v="3043"/>
    <n v="912.9"/>
    <n v="1"/>
    <n v="3043"/>
    <x v="44"/>
    <x v="1"/>
    <d v="2022-05-01T00:00:00"/>
  </r>
  <r>
    <s v="Cliente 131"/>
    <x v="7"/>
    <x v="1"/>
    <x v="1"/>
    <s v="Renovação"/>
    <s v="680.923.823-13"/>
    <s v="68092382313"/>
    <n v="5234"/>
    <n v="1720"/>
    <n v="3514"/>
    <n v="1054.2"/>
    <n v="1"/>
    <n v="5234"/>
    <x v="63"/>
    <x v="3"/>
    <d v="2022-04-01T00:00:00"/>
  </r>
  <r>
    <s v="Cliente 171"/>
    <x v="5"/>
    <x v="0"/>
    <x v="1"/>
    <s v="Novo"/>
    <s v="684.172.041-41"/>
    <s v="68417204141"/>
    <n v="3653"/>
    <n v="0"/>
    <n v="3653"/>
    <n v="1095.8999999999999"/>
    <n v="1"/>
    <n v="3653"/>
    <x v="77"/>
    <x v="2"/>
    <d v="2022-07-01T00:00:00"/>
  </r>
  <r>
    <s v="Cliente 569"/>
    <x v="3"/>
    <x v="2"/>
    <x v="0"/>
    <s v="Novo"/>
    <s v="685.956.279-74"/>
    <s v="68595627974"/>
    <n v="5032"/>
    <n v="0"/>
    <n v="5032"/>
    <n v="1006.4000000000001"/>
    <n v="1"/>
    <n v="5032"/>
    <x v="2"/>
    <x v="2"/>
    <d v="2022-07-01T00:00:00"/>
  </r>
  <r>
    <s v="Cliente 327"/>
    <x v="1"/>
    <x v="1"/>
    <x v="0"/>
    <s v="Renovação"/>
    <s v="686.723.097-63"/>
    <s v="68672309763"/>
    <n v="8259"/>
    <n v="7738"/>
    <n v="521"/>
    <n v="104.2"/>
    <n v="1"/>
    <n v="8259"/>
    <x v="46"/>
    <x v="3"/>
    <d v="2022-04-01T00:00:00"/>
  </r>
  <r>
    <s v="Cliente 507"/>
    <x v="5"/>
    <x v="0"/>
    <x v="0"/>
    <s v="Novo"/>
    <s v="688.350.455-86"/>
    <s v="68835045586"/>
    <n v="7511"/>
    <n v="0"/>
    <n v="7511"/>
    <n v="1502.2"/>
    <n v="1"/>
    <n v="7511"/>
    <x v="23"/>
    <x v="8"/>
    <d v="2022-05-01T00:00:00"/>
  </r>
  <r>
    <s v="Cliente 406"/>
    <x v="6"/>
    <x v="1"/>
    <x v="0"/>
    <s v="Renovação"/>
    <s v="694.455.568-84"/>
    <s v="69445556884"/>
    <n v="2509"/>
    <n v="9550"/>
    <n v="0"/>
    <n v="0"/>
    <n v="1"/>
    <n v="2509"/>
    <x v="12"/>
    <x v="7"/>
    <d v="2022-07-01T00:00:00"/>
  </r>
  <r>
    <s v="Cliente 559"/>
    <x v="3"/>
    <x v="2"/>
    <x v="0"/>
    <s v="Novo"/>
    <s v="697.430.837-41"/>
    <s v="69743083741"/>
    <n v="1962"/>
    <n v="0"/>
    <n v="1962"/>
    <n v="392.40000000000003"/>
    <n v="1"/>
    <n v="1962"/>
    <x v="12"/>
    <x v="2"/>
    <d v="2022-07-01T00:00:00"/>
  </r>
  <r>
    <s v="Cliente 321"/>
    <x v="2"/>
    <x v="2"/>
    <x v="0"/>
    <s v="Renovação"/>
    <s v="700.227.059-73"/>
    <s v="70022705973"/>
    <n v="4145"/>
    <n v="8768"/>
    <n v="0"/>
    <n v="0"/>
    <n v="1"/>
    <n v="4145"/>
    <x v="55"/>
    <x v="2"/>
    <d v="2022-07-01T00:00:00"/>
  </r>
  <r>
    <s v="Cliente 481"/>
    <x v="6"/>
    <x v="1"/>
    <x v="0"/>
    <s v="Novo"/>
    <s v="703.638.130-52"/>
    <s v="70363813052"/>
    <n v="4831"/>
    <n v="0"/>
    <n v="4831"/>
    <n v="966.2"/>
    <n v="1"/>
    <n v="4831"/>
    <x v="94"/>
    <x v="3"/>
    <d v="2022-04-01T00:00:00"/>
  </r>
  <r>
    <s v="Cliente 188"/>
    <x v="0"/>
    <x v="0"/>
    <x v="1"/>
    <s v="Novo"/>
    <s v="714.432.250-80"/>
    <s v="71443225080"/>
    <n v="7614"/>
    <n v="0"/>
    <n v="7614"/>
    <n v="2284.1999999999998"/>
    <n v="1"/>
    <n v="7614"/>
    <x v="20"/>
    <x v="0"/>
    <d v="2022-06-01T00:00:00"/>
  </r>
  <r>
    <s v="Cliente 301"/>
    <x v="5"/>
    <x v="0"/>
    <x v="0"/>
    <s v="Renovação"/>
    <s v="720.254.186-55"/>
    <s v="72025418655"/>
    <n v="9450"/>
    <n v="2968"/>
    <n v="6482"/>
    <n v="1296.4000000000001"/>
    <n v="1"/>
    <n v="9450"/>
    <x v="76"/>
    <x v="8"/>
    <d v="2022-05-01T00:00:00"/>
  </r>
  <r>
    <s v="Cliente 100"/>
    <x v="5"/>
    <x v="0"/>
    <x v="1"/>
    <s v="Renovação"/>
    <s v="721.485.928-89"/>
    <s v="72148592889"/>
    <n v="5651"/>
    <n v="6348"/>
    <n v="0"/>
    <n v="0"/>
    <n v="0"/>
    <n v="0"/>
    <x v="10"/>
    <x v="5"/>
    <b v="0"/>
  </r>
  <r>
    <s v="Cliente 288"/>
    <x v="2"/>
    <x v="2"/>
    <x v="1"/>
    <s v="Novo"/>
    <s v="723.207.934-18"/>
    <s v="72320793418"/>
    <n v="8443"/>
    <n v="0"/>
    <n v="8443"/>
    <n v="2532.9"/>
    <n v="1"/>
    <n v="8443"/>
    <x v="97"/>
    <x v="0"/>
    <d v="2022-06-01T00:00:00"/>
  </r>
  <r>
    <s v="Cliente 600"/>
    <x v="6"/>
    <x v="1"/>
    <x v="0"/>
    <s v="Novo"/>
    <s v="724.812.866-67"/>
    <s v="72481286667"/>
    <n v="4940"/>
    <n v="0"/>
    <n v="4940"/>
    <n v="988"/>
    <n v="1"/>
    <n v="4940"/>
    <x v="33"/>
    <x v="7"/>
    <d v="2022-07-01T00:00:00"/>
  </r>
  <r>
    <s v="Cliente 287"/>
    <x v="0"/>
    <x v="0"/>
    <x v="1"/>
    <s v="Novo"/>
    <s v="724.838.274-86"/>
    <s v="72483827486"/>
    <n v="8236"/>
    <n v="0"/>
    <n v="8236"/>
    <n v="2470.7999999999997"/>
    <n v="1"/>
    <n v="8236"/>
    <x v="88"/>
    <x v="6"/>
    <d v="2022-04-01T00:00:00"/>
  </r>
  <r>
    <s v="Cliente 498"/>
    <x v="4"/>
    <x v="2"/>
    <x v="0"/>
    <s v="Novo"/>
    <s v="729.286.345-17"/>
    <s v="72928634517"/>
    <n v="6646"/>
    <n v="0"/>
    <n v="6646"/>
    <n v="1329.2"/>
    <n v="1"/>
    <n v="6646"/>
    <x v="106"/>
    <x v="6"/>
    <d v="2022-04-01T00:00:00"/>
  </r>
  <r>
    <s v="Cliente 110"/>
    <x v="6"/>
    <x v="1"/>
    <x v="1"/>
    <s v="Renovação"/>
    <s v="733.582.774-03"/>
    <s v="73358277403"/>
    <n v="7421"/>
    <n v="2474"/>
    <n v="4947"/>
    <n v="1484.1"/>
    <n v="1"/>
    <n v="7421"/>
    <x v="39"/>
    <x v="7"/>
    <d v="2022-07-01T00:00:00"/>
  </r>
  <r>
    <s v="Cliente 374"/>
    <x v="2"/>
    <x v="2"/>
    <x v="0"/>
    <s v="Renovação"/>
    <s v="735.377.825-82"/>
    <s v="73537782582"/>
    <n v="8663"/>
    <n v="7295"/>
    <n v="1368"/>
    <n v="273.60000000000002"/>
    <n v="1"/>
    <n v="8663"/>
    <x v="60"/>
    <x v="0"/>
    <d v="2022-06-01T00:00:00"/>
  </r>
  <r>
    <s v="Cliente 328"/>
    <x v="1"/>
    <x v="1"/>
    <x v="0"/>
    <s v="Renovação"/>
    <s v="736.318.629-64"/>
    <s v="73631862964"/>
    <n v="4173"/>
    <n v="6482"/>
    <n v="0"/>
    <n v="0"/>
    <n v="1"/>
    <n v="4173"/>
    <x v="119"/>
    <x v="7"/>
    <d v="2022-07-01T00:00:00"/>
  </r>
  <r>
    <s v="Cliente 554"/>
    <x v="3"/>
    <x v="2"/>
    <x v="0"/>
    <s v="Novo"/>
    <s v="741.305.564-45"/>
    <s v="74130556445"/>
    <n v="3612"/>
    <n v="0"/>
    <n v="3612"/>
    <n v="722.40000000000009"/>
    <n v="1"/>
    <n v="3612"/>
    <x v="37"/>
    <x v="0"/>
    <d v="2022-06-01T00:00:00"/>
  </r>
  <r>
    <s v="Cliente 399"/>
    <x v="2"/>
    <x v="2"/>
    <x v="0"/>
    <s v="Renovação"/>
    <s v="745.480.980-66"/>
    <s v="74548098066"/>
    <n v="3277"/>
    <n v="3524"/>
    <n v="0"/>
    <n v="0"/>
    <n v="1"/>
    <n v="3277"/>
    <x v="48"/>
    <x v="8"/>
    <d v="2022-05-01T00:00:00"/>
  </r>
  <r>
    <s v="Cliente 316"/>
    <x v="6"/>
    <x v="1"/>
    <x v="0"/>
    <s v="Renovação"/>
    <s v="747.060.134-75"/>
    <s v="74706013475"/>
    <n v="6510"/>
    <n v="9113"/>
    <n v="0"/>
    <n v="0"/>
    <n v="1"/>
    <n v="6510"/>
    <x v="117"/>
    <x v="3"/>
    <d v="2022-04-01T00:00:00"/>
  </r>
  <r>
    <s v="Cliente 536"/>
    <x v="3"/>
    <x v="2"/>
    <x v="0"/>
    <s v="Novo"/>
    <s v="751.943.200-89"/>
    <s v="75194320089"/>
    <n v="4467"/>
    <n v="0"/>
    <n v="4467"/>
    <n v="893.40000000000009"/>
    <n v="1"/>
    <n v="4467"/>
    <x v="38"/>
    <x v="6"/>
    <d v="2022-04-01T00:00:00"/>
  </r>
  <r>
    <s v="Cliente 599"/>
    <x v="5"/>
    <x v="0"/>
    <x v="0"/>
    <s v="Novo"/>
    <s v="756.195.744-46"/>
    <s v="75619574446"/>
    <n v="5360"/>
    <n v="0"/>
    <n v="5360"/>
    <n v="1072"/>
    <n v="1"/>
    <n v="5360"/>
    <x v="88"/>
    <x v="6"/>
    <d v="2022-04-01T00:00:00"/>
  </r>
  <r>
    <s v="Cliente 205"/>
    <x v="6"/>
    <x v="1"/>
    <x v="1"/>
    <s v="Novo"/>
    <s v="757.842.728-84"/>
    <s v="75784272884"/>
    <n v="7987"/>
    <n v="0"/>
    <n v="7987"/>
    <n v="2396.1"/>
    <n v="1"/>
    <n v="7987"/>
    <x v="106"/>
    <x v="3"/>
    <d v="2022-04-01T00:00:00"/>
  </r>
  <r>
    <s v="Cliente 42"/>
    <x v="1"/>
    <x v="1"/>
    <x v="1"/>
    <s v="Renovação"/>
    <s v="766.606.955-15"/>
    <s v="76660695515"/>
    <n v="5588"/>
    <n v="7003"/>
    <n v="0"/>
    <n v="0"/>
    <n v="1"/>
    <n v="5588"/>
    <x v="47"/>
    <x v="9"/>
    <d v="2022-06-01T00:00:00"/>
  </r>
  <r>
    <s v="Cliente 305"/>
    <x v="7"/>
    <x v="1"/>
    <x v="0"/>
    <s v="Renovação"/>
    <s v="769.175.717-52"/>
    <s v="76917571752"/>
    <n v="1856"/>
    <n v="1652"/>
    <n v="204"/>
    <n v="40.800000000000004"/>
    <n v="1"/>
    <n v="1856"/>
    <x v="9"/>
    <x v="7"/>
    <d v="2022-07-01T00:00:00"/>
  </r>
  <r>
    <s v="Cliente 178"/>
    <x v="5"/>
    <x v="0"/>
    <x v="1"/>
    <s v="Novo"/>
    <s v="771.108.531-40"/>
    <s v="77110853140"/>
    <n v="2793"/>
    <n v="0"/>
    <n v="2793"/>
    <n v="837.9"/>
    <n v="1"/>
    <n v="2793"/>
    <x v="17"/>
    <x v="2"/>
    <d v="2022-07-01T00:00:00"/>
  </r>
  <r>
    <s v="Cliente 30"/>
    <x v="3"/>
    <x v="2"/>
    <x v="1"/>
    <s v="Renovação"/>
    <s v="773.527.620-84"/>
    <s v="77352762084"/>
    <n v="6600"/>
    <n v="4573"/>
    <n v="2027"/>
    <n v="0"/>
    <n v="0"/>
    <n v="0"/>
    <x v="10"/>
    <x v="5"/>
    <b v="0"/>
  </r>
  <r>
    <s v="Cliente 162"/>
    <x v="6"/>
    <x v="1"/>
    <x v="1"/>
    <s v="Novo"/>
    <s v="781.083.432-80"/>
    <s v="78108343280"/>
    <n v="3598"/>
    <n v="0"/>
    <n v="3598"/>
    <n v="1079.3999999999999"/>
    <n v="1"/>
    <n v="3598"/>
    <x v="53"/>
    <x v="9"/>
    <d v="2022-06-01T00:00:00"/>
  </r>
  <r>
    <s v="Cliente 179"/>
    <x v="5"/>
    <x v="0"/>
    <x v="1"/>
    <s v="Novo"/>
    <s v="784.675.923-26"/>
    <s v="78467592326"/>
    <n v="4337"/>
    <n v="0"/>
    <n v="4337"/>
    <n v="1301.0999999999999"/>
    <n v="1"/>
    <n v="4337"/>
    <x v="18"/>
    <x v="6"/>
    <d v="2022-04-01T00:00:00"/>
  </r>
  <r>
    <s v="Cliente 394"/>
    <x v="2"/>
    <x v="2"/>
    <x v="0"/>
    <s v="Renovação"/>
    <s v="787.911.137-36"/>
    <s v="78791113736"/>
    <n v="7611"/>
    <n v="6400"/>
    <n v="1211"/>
    <n v="242.20000000000002"/>
    <n v="1"/>
    <n v="7611"/>
    <x v="85"/>
    <x v="8"/>
    <d v="2022-05-01T00:00:00"/>
  </r>
  <r>
    <s v="Cliente 41"/>
    <x v="5"/>
    <x v="0"/>
    <x v="1"/>
    <s v="Renovação"/>
    <s v="790.745.071-95"/>
    <s v="79074507195"/>
    <n v="9313"/>
    <n v="4829"/>
    <n v="4484"/>
    <n v="0"/>
    <n v="0"/>
    <n v="0"/>
    <x v="10"/>
    <x v="5"/>
    <b v="0"/>
  </r>
  <r>
    <s v="Cliente 138"/>
    <x v="2"/>
    <x v="2"/>
    <x v="1"/>
    <s v="Renovação"/>
    <s v="797.775.402-23"/>
    <s v="79777540223"/>
    <n v="3111"/>
    <n v="1307"/>
    <n v="1804"/>
    <n v="541.19999999999993"/>
    <n v="1"/>
    <n v="3111"/>
    <x v="92"/>
    <x v="8"/>
    <d v="2022-05-01T00:00:00"/>
  </r>
  <r>
    <s v="Cliente 304"/>
    <x v="2"/>
    <x v="2"/>
    <x v="0"/>
    <s v="Renovação"/>
    <s v="800.975.570-58"/>
    <s v="80097557058"/>
    <n v="9999"/>
    <n v="2134"/>
    <n v="7865"/>
    <n v="1573"/>
    <n v="1"/>
    <n v="9999"/>
    <x v="46"/>
    <x v="6"/>
    <d v="2022-04-01T00:00:00"/>
  </r>
  <r>
    <s v="Cliente 512"/>
    <x v="1"/>
    <x v="1"/>
    <x v="0"/>
    <s v="Novo"/>
    <s v="807.938.581-08"/>
    <s v="80793858108"/>
    <n v="1876"/>
    <n v="0"/>
    <n v="1876"/>
    <n v="375.20000000000005"/>
    <n v="1"/>
    <n v="1876"/>
    <x v="23"/>
    <x v="1"/>
    <d v="2022-05-01T00:00:00"/>
  </r>
  <r>
    <s v="Cliente 483"/>
    <x v="7"/>
    <x v="1"/>
    <x v="0"/>
    <s v="Novo"/>
    <s v="811.710.007-62"/>
    <s v="81171000762"/>
    <n v="1650"/>
    <n v="0"/>
    <n v="1650"/>
    <n v="330"/>
    <n v="1"/>
    <n v="1650"/>
    <x v="30"/>
    <x v="9"/>
    <d v="2022-06-01T00:00:00"/>
  </r>
  <r>
    <s v="Cliente 112"/>
    <x v="3"/>
    <x v="2"/>
    <x v="1"/>
    <s v="Renovação"/>
    <s v="813.899.175-48"/>
    <s v="81389917548"/>
    <n v="4504"/>
    <n v="6633"/>
    <n v="0"/>
    <n v="0"/>
    <n v="0"/>
    <n v="0"/>
    <x v="10"/>
    <x v="5"/>
    <b v="0"/>
  </r>
  <r>
    <s v="Cliente 590"/>
    <x v="7"/>
    <x v="1"/>
    <x v="0"/>
    <s v="Novo"/>
    <s v="814.514.226-18"/>
    <s v="81451422618"/>
    <n v="2669"/>
    <n v="0"/>
    <n v="2669"/>
    <n v="533.80000000000007"/>
    <n v="1"/>
    <n v="2669"/>
    <x v="88"/>
    <x v="3"/>
    <d v="2022-04-01T00:00:00"/>
  </r>
  <r>
    <s v="Cliente 409"/>
    <x v="4"/>
    <x v="2"/>
    <x v="0"/>
    <s v="Renovação"/>
    <s v="814.762.460-55"/>
    <s v="81476246055"/>
    <n v="2802"/>
    <n v="4038"/>
    <n v="0"/>
    <n v="0"/>
    <n v="1"/>
    <n v="2802"/>
    <x v="38"/>
    <x v="6"/>
    <d v="2022-04-01T00:00:00"/>
  </r>
  <r>
    <s v="Cliente 456"/>
    <x v="0"/>
    <x v="0"/>
    <x v="0"/>
    <s v="Novo"/>
    <s v="814.817.977-50"/>
    <s v="81481797750"/>
    <n v="7826"/>
    <n v="0"/>
    <n v="7826"/>
    <n v="1565.2"/>
    <n v="1"/>
    <n v="7826"/>
    <x v="11"/>
    <x v="2"/>
    <d v="2022-07-01T00:00:00"/>
  </r>
  <r>
    <s v="Cliente 55"/>
    <x v="5"/>
    <x v="0"/>
    <x v="1"/>
    <s v="Renovação"/>
    <s v="823.875.498-71"/>
    <s v="82387549871"/>
    <n v="9325"/>
    <n v="8252"/>
    <n v="1073"/>
    <n v="0"/>
    <n v="0"/>
    <n v="0"/>
    <x v="10"/>
    <x v="5"/>
    <b v="0"/>
  </r>
  <r>
    <s v="Cliente 228"/>
    <x v="7"/>
    <x v="1"/>
    <x v="1"/>
    <s v="Novo"/>
    <s v="828.658.522-41"/>
    <s v="82865852241"/>
    <n v="2991"/>
    <n v="0"/>
    <n v="2991"/>
    <n v="897.3"/>
    <n v="1"/>
    <n v="2991"/>
    <x v="92"/>
    <x v="1"/>
    <d v="2022-05-01T00:00:00"/>
  </r>
  <r>
    <s v="Cliente 35"/>
    <x v="3"/>
    <x v="2"/>
    <x v="1"/>
    <s v="Renovação"/>
    <s v="832.509.802-94"/>
    <s v="83250980294"/>
    <n v="7819"/>
    <n v="1004"/>
    <n v="6815"/>
    <n v="2044.5"/>
    <n v="1"/>
    <n v="7819"/>
    <x v="91"/>
    <x v="2"/>
    <d v="2022-07-01T00:00:00"/>
  </r>
  <r>
    <s v="Cliente 26"/>
    <x v="3"/>
    <x v="2"/>
    <x v="1"/>
    <s v="Renovação"/>
    <s v="839.697.221-44"/>
    <s v="83969722144"/>
    <n v="6997"/>
    <n v="2338"/>
    <n v="4659"/>
    <n v="1397.7"/>
    <n v="1"/>
    <n v="6997"/>
    <x v="48"/>
    <x v="8"/>
    <d v="2022-05-01T00:00:00"/>
  </r>
  <r>
    <s v="Cliente 137"/>
    <x v="7"/>
    <x v="1"/>
    <x v="1"/>
    <s v="Renovação"/>
    <s v="848.473.586-19"/>
    <s v="84847358619"/>
    <n v="6738"/>
    <n v="7142"/>
    <n v="0"/>
    <n v="0"/>
    <n v="1"/>
    <n v="6738"/>
    <x v="74"/>
    <x v="1"/>
    <d v="2022-05-01T00:00:00"/>
  </r>
  <r>
    <s v="Cliente 150"/>
    <x v="7"/>
    <x v="1"/>
    <x v="1"/>
    <s v="Renovação"/>
    <s v="849.204.583-13"/>
    <s v="84920458313"/>
    <n v="2862"/>
    <n v="6363"/>
    <n v="0"/>
    <n v="0"/>
    <n v="1"/>
    <n v="2862"/>
    <x v="86"/>
    <x v="7"/>
    <d v="2022-07-01T00:00:00"/>
  </r>
  <r>
    <s v="Cliente 33"/>
    <x v="0"/>
    <x v="0"/>
    <x v="1"/>
    <s v="Renovação"/>
    <s v="849.910.131-72"/>
    <s v="84991013172"/>
    <n v="2920"/>
    <n v="4510"/>
    <n v="0"/>
    <n v="0"/>
    <n v="1"/>
    <n v="2920"/>
    <x v="69"/>
    <x v="8"/>
    <d v="2022-05-01T00:00:00"/>
  </r>
  <r>
    <s v="Cliente 492"/>
    <x v="4"/>
    <x v="2"/>
    <x v="0"/>
    <s v="Novo"/>
    <s v="851.863.830-00"/>
    <s v="85186383000"/>
    <n v="9695"/>
    <n v="0"/>
    <n v="9695"/>
    <n v="1939"/>
    <n v="1"/>
    <n v="9695"/>
    <x v="121"/>
    <x v="10"/>
    <d v="2022-08-01T00:00:00"/>
  </r>
  <r>
    <s v="Cliente 254"/>
    <x v="3"/>
    <x v="2"/>
    <x v="1"/>
    <s v="Novo"/>
    <s v="859.889.413-40"/>
    <s v="85988941340"/>
    <n v="3519"/>
    <n v="0"/>
    <n v="3519"/>
    <n v="1055.7"/>
    <n v="1"/>
    <n v="3519"/>
    <x v="12"/>
    <x v="2"/>
    <d v="2022-07-01T00:00:00"/>
  </r>
  <r>
    <s v="Cliente 587"/>
    <x v="0"/>
    <x v="0"/>
    <x v="0"/>
    <s v="Novo"/>
    <s v="865.721.690-84"/>
    <s v="86572169084"/>
    <n v="3893"/>
    <n v="0"/>
    <n v="3893"/>
    <n v="778.6"/>
    <n v="1"/>
    <n v="3893"/>
    <x v="50"/>
    <x v="2"/>
    <d v="2022-07-01T00:00:00"/>
  </r>
  <r>
    <s v="Cliente 414"/>
    <x v="3"/>
    <x v="2"/>
    <x v="0"/>
    <s v="Renovação"/>
    <s v="867.123.979-82"/>
    <s v="86712397982"/>
    <n v="4689"/>
    <n v="5539"/>
    <n v="0"/>
    <n v="0"/>
    <n v="1"/>
    <n v="4689"/>
    <x v="65"/>
    <x v="6"/>
    <d v="2022-04-01T00:00:00"/>
  </r>
  <r>
    <s v="Cliente 381"/>
    <x v="1"/>
    <x v="1"/>
    <x v="0"/>
    <s v="Renovação"/>
    <s v="868.938.644-47"/>
    <s v="86893864447"/>
    <n v="1142"/>
    <n v="3943"/>
    <n v="0"/>
    <n v="0"/>
    <n v="1"/>
    <n v="1142"/>
    <x v="22"/>
    <x v="1"/>
    <d v="2022-05-01T00:00:00"/>
  </r>
  <r>
    <s v="Cliente 490"/>
    <x v="1"/>
    <x v="1"/>
    <x v="0"/>
    <s v="Novo"/>
    <s v="871.357.905-58"/>
    <s v="87135790558"/>
    <n v="9824"/>
    <n v="0"/>
    <n v="9824"/>
    <n v="1964.8000000000002"/>
    <n v="1"/>
    <n v="9824"/>
    <x v="121"/>
    <x v="11"/>
    <d v="2022-08-01T00:00:00"/>
  </r>
  <r>
    <s v="Cliente 166"/>
    <x v="0"/>
    <x v="0"/>
    <x v="1"/>
    <s v="Novo"/>
    <s v="871.915.569-81"/>
    <s v="87191556981"/>
    <n v="5926"/>
    <n v="0"/>
    <n v="5926"/>
    <n v="1777.8"/>
    <n v="1"/>
    <n v="5926"/>
    <x v="20"/>
    <x v="0"/>
    <d v="2022-06-01T00:00:00"/>
  </r>
  <r>
    <s v="Cliente 85"/>
    <x v="4"/>
    <x v="2"/>
    <x v="1"/>
    <s v="Renovação"/>
    <s v="873.820.623-77"/>
    <s v="87382062377"/>
    <n v="1271"/>
    <n v="1768"/>
    <n v="0"/>
    <n v="0"/>
    <n v="1"/>
    <n v="1271"/>
    <x v="56"/>
    <x v="6"/>
    <d v="2022-04-01T00:00:00"/>
  </r>
  <r>
    <s v="Cliente 367"/>
    <x v="2"/>
    <x v="2"/>
    <x v="0"/>
    <s v="Renovação"/>
    <s v="876.211.035-23"/>
    <s v="87621103523"/>
    <n v="1167"/>
    <n v="1892"/>
    <n v="0"/>
    <n v="0"/>
    <n v="1"/>
    <n v="1167"/>
    <x v="96"/>
    <x v="8"/>
    <d v="2022-05-01T00:00:00"/>
  </r>
  <r>
    <s v="Cliente 57"/>
    <x v="5"/>
    <x v="0"/>
    <x v="1"/>
    <s v="Renovação"/>
    <s v="876.259.791-57"/>
    <s v="87625979157"/>
    <n v="3062"/>
    <n v="4218"/>
    <n v="0"/>
    <n v="0"/>
    <n v="1"/>
    <n v="3062"/>
    <x v="109"/>
    <x v="2"/>
    <d v="2022-07-01T00:00:00"/>
  </r>
  <r>
    <s v="Cliente 571"/>
    <x v="0"/>
    <x v="0"/>
    <x v="0"/>
    <s v="Novo"/>
    <s v="877.044.762-35"/>
    <s v="87704476235"/>
    <n v="7187"/>
    <n v="0"/>
    <n v="7187"/>
    <n v="1437.4"/>
    <n v="1"/>
    <n v="7187"/>
    <x v="108"/>
    <x v="0"/>
    <d v="2022-06-01T00:00:00"/>
  </r>
  <r>
    <s v="Cliente 303"/>
    <x v="5"/>
    <x v="0"/>
    <x v="0"/>
    <s v="Renovação"/>
    <s v="877.608.453-87"/>
    <s v="87760845387"/>
    <n v="1963"/>
    <n v="7341"/>
    <n v="0"/>
    <n v="0"/>
    <n v="1"/>
    <n v="1963"/>
    <x v="34"/>
    <x v="8"/>
    <d v="2022-05-01T00:00:00"/>
  </r>
  <r>
    <s v="Cliente 419"/>
    <x v="4"/>
    <x v="2"/>
    <x v="0"/>
    <s v="Renovação"/>
    <s v="878.387.770-30"/>
    <s v="87838777030"/>
    <n v="2949"/>
    <n v="9452"/>
    <n v="0"/>
    <n v="0"/>
    <n v="1"/>
    <n v="2949"/>
    <x v="107"/>
    <x v="6"/>
    <d v="2022-04-01T00:00:00"/>
  </r>
  <r>
    <s v="Cliente 277"/>
    <x v="6"/>
    <x v="1"/>
    <x v="1"/>
    <s v="Novo"/>
    <s v="880.093.608-23"/>
    <s v="88009360823"/>
    <n v="2509"/>
    <n v="0"/>
    <n v="2509"/>
    <n v="752.69999999999993"/>
    <n v="1"/>
    <n v="2509"/>
    <x v="105"/>
    <x v="7"/>
    <d v="2022-07-01T00:00:00"/>
  </r>
  <r>
    <s v="Cliente 518"/>
    <x v="0"/>
    <x v="0"/>
    <x v="0"/>
    <s v="Novo"/>
    <s v="884.635.803-45"/>
    <s v="88463580345"/>
    <n v="2462"/>
    <n v="0"/>
    <n v="2462"/>
    <n v="492.40000000000003"/>
    <n v="1"/>
    <n v="2462"/>
    <x v="80"/>
    <x v="2"/>
    <d v="2022-07-01T00:00:00"/>
  </r>
  <r>
    <s v="Cliente 156"/>
    <x v="2"/>
    <x v="2"/>
    <x v="1"/>
    <s v="Novo"/>
    <s v="885.100.969-67"/>
    <s v="88510096967"/>
    <n v="4177"/>
    <n v="0"/>
    <n v="4177"/>
    <n v="1253.0999999999999"/>
    <n v="1"/>
    <n v="4177"/>
    <x v="50"/>
    <x v="2"/>
    <d v="2022-07-01T00:00:00"/>
  </r>
  <r>
    <s v="Cliente 299"/>
    <x v="0"/>
    <x v="0"/>
    <x v="1"/>
    <s v="Novo"/>
    <s v="890.361.297-47"/>
    <s v="89036129747"/>
    <n v="4186"/>
    <n v="0"/>
    <n v="4186"/>
    <n v="1255.8"/>
    <n v="1"/>
    <n v="4186"/>
    <x v="66"/>
    <x v="0"/>
    <d v="2022-06-01T00:00:00"/>
  </r>
  <r>
    <s v="Cliente 540"/>
    <x v="5"/>
    <x v="0"/>
    <x v="0"/>
    <s v="Novo"/>
    <s v="890.736.255-35"/>
    <s v="89073625535"/>
    <n v="2227"/>
    <n v="0"/>
    <n v="2227"/>
    <n v="445.40000000000003"/>
    <n v="1"/>
    <n v="2227"/>
    <x v="41"/>
    <x v="8"/>
    <d v="2022-05-01T00:00:00"/>
  </r>
  <r>
    <s v="Cliente 531"/>
    <x v="2"/>
    <x v="2"/>
    <x v="0"/>
    <s v="Novo"/>
    <s v="897.317.756-48"/>
    <s v="89731775648"/>
    <n v="2310"/>
    <n v="0"/>
    <n v="2310"/>
    <n v="462"/>
    <n v="1"/>
    <n v="2310"/>
    <x v="22"/>
    <x v="8"/>
    <d v="2022-05-01T00:00:00"/>
  </r>
  <r>
    <s v="Cliente 275"/>
    <x v="6"/>
    <x v="1"/>
    <x v="1"/>
    <s v="Novo"/>
    <s v="900.080.424-97"/>
    <s v="90008042497"/>
    <n v="9735"/>
    <n v="0"/>
    <n v="9735"/>
    <n v="2920.5"/>
    <n v="1"/>
    <n v="9735"/>
    <x v="54"/>
    <x v="3"/>
    <d v="2022-04-01T00:00:00"/>
  </r>
  <r>
    <s v="Cliente 142"/>
    <x v="0"/>
    <x v="0"/>
    <x v="1"/>
    <s v="Renovação"/>
    <s v="900.763.203-63"/>
    <s v="90076320363"/>
    <n v="6856"/>
    <n v="5764"/>
    <n v="1092"/>
    <n v="0"/>
    <n v="0"/>
    <n v="0"/>
    <x v="10"/>
    <x v="5"/>
    <b v="0"/>
  </r>
  <r>
    <s v="Cliente 482"/>
    <x v="1"/>
    <x v="1"/>
    <x v="0"/>
    <s v="Novo"/>
    <s v="905.365.247-47"/>
    <s v="90536524747"/>
    <n v="7990"/>
    <n v="0"/>
    <n v="7990"/>
    <n v="1598"/>
    <n v="1"/>
    <n v="7990"/>
    <x v="49"/>
    <x v="9"/>
    <d v="2022-06-01T00:00:00"/>
  </r>
  <r>
    <s v="Cliente 339"/>
    <x v="6"/>
    <x v="1"/>
    <x v="0"/>
    <s v="Renovação"/>
    <s v="905.582.149-02"/>
    <s v="90558214902"/>
    <n v="3667"/>
    <n v="7357"/>
    <n v="0"/>
    <n v="0"/>
    <n v="1"/>
    <n v="3667"/>
    <x v="90"/>
    <x v="1"/>
    <d v="2022-05-01T00:00:00"/>
  </r>
  <r>
    <s v="Cliente 424"/>
    <x v="2"/>
    <x v="2"/>
    <x v="0"/>
    <s v="Renovação"/>
    <s v="905.590.490-99"/>
    <s v="90559049099"/>
    <n v="2482"/>
    <n v="7594"/>
    <n v="0"/>
    <n v="0"/>
    <n v="1"/>
    <n v="2482"/>
    <x v="63"/>
    <x v="6"/>
    <d v="2022-04-01T00:00:00"/>
  </r>
  <r>
    <s v="Cliente 433"/>
    <x v="3"/>
    <x v="2"/>
    <x v="0"/>
    <s v="Renovação"/>
    <s v="906.342.040-26"/>
    <s v="90634204026"/>
    <n v="1103"/>
    <n v="3310"/>
    <n v="0"/>
    <n v="0"/>
    <n v="1"/>
    <n v="1103"/>
    <x v="57"/>
    <x v="8"/>
    <d v="2022-05-01T00:00:00"/>
  </r>
  <r>
    <s v="Cliente 75"/>
    <x v="5"/>
    <x v="0"/>
    <x v="1"/>
    <s v="Renovação"/>
    <s v="910.793.355-63"/>
    <s v="91079335563"/>
    <n v="5382"/>
    <n v="2354"/>
    <n v="3028"/>
    <n v="908.4"/>
    <n v="1"/>
    <n v="5382"/>
    <x v="37"/>
    <x v="0"/>
    <d v="2022-06-01T00:00:00"/>
  </r>
  <r>
    <s v="Cliente 471"/>
    <x v="2"/>
    <x v="2"/>
    <x v="0"/>
    <s v="Novo"/>
    <s v="915.610.424-36"/>
    <s v="91561042436"/>
    <n v="6322"/>
    <n v="0"/>
    <n v="6322"/>
    <n v="1264.4000000000001"/>
    <n v="1"/>
    <n v="6322"/>
    <x v="12"/>
    <x v="2"/>
    <d v="2022-07-01T00:00:00"/>
  </r>
  <r>
    <s v="Cliente 534"/>
    <x v="1"/>
    <x v="1"/>
    <x v="0"/>
    <s v="Novo"/>
    <s v="918.210.171-35"/>
    <s v="91821017135"/>
    <n v="1521"/>
    <n v="0"/>
    <n v="1521"/>
    <n v="304.2"/>
    <n v="1"/>
    <n v="1521"/>
    <x v="52"/>
    <x v="9"/>
    <d v="2022-06-01T00:00:00"/>
  </r>
  <r>
    <s v="Cliente 472"/>
    <x v="6"/>
    <x v="1"/>
    <x v="0"/>
    <s v="Novo"/>
    <s v="920.657.103-08"/>
    <s v="92065710308"/>
    <n v="9476"/>
    <n v="0"/>
    <n v="9476"/>
    <n v="1895.2"/>
    <n v="1"/>
    <n v="9476"/>
    <x v="107"/>
    <x v="3"/>
    <d v="2022-04-01T00:00:00"/>
  </r>
  <r>
    <s v="Cliente 129"/>
    <x v="2"/>
    <x v="2"/>
    <x v="1"/>
    <s v="Renovação"/>
    <s v="921.374.488-04"/>
    <s v="92137448804"/>
    <n v="1149"/>
    <n v="3765"/>
    <n v="0"/>
    <n v="0"/>
    <n v="0"/>
    <n v="0"/>
    <x v="10"/>
    <x v="5"/>
    <b v="0"/>
  </r>
  <r>
    <s v="Cliente 71"/>
    <x v="3"/>
    <x v="2"/>
    <x v="1"/>
    <s v="Renovação"/>
    <s v="924.534.100-42"/>
    <s v="92453410042"/>
    <n v="2717"/>
    <n v="9246"/>
    <n v="0"/>
    <n v="0"/>
    <n v="0"/>
    <n v="0"/>
    <x v="10"/>
    <x v="5"/>
    <b v="0"/>
  </r>
  <r>
    <s v="Cliente 369"/>
    <x v="2"/>
    <x v="2"/>
    <x v="0"/>
    <s v="Renovação"/>
    <s v="928.684.764-76"/>
    <s v="92868476476"/>
    <n v="8260"/>
    <n v="7004"/>
    <n v="1256"/>
    <n v="251.20000000000002"/>
    <n v="1"/>
    <n v="8260"/>
    <x v="17"/>
    <x v="2"/>
    <d v="2022-07-01T00:00:00"/>
  </r>
  <r>
    <s v="Cliente 201"/>
    <x v="1"/>
    <x v="1"/>
    <x v="1"/>
    <s v="Novo"/>
    <s v="931.880.177-29"/>
    <s v="93188017729"/>
    <n v="8794"/>
    <n v="0"/>
    <n v="8794"/>
    <n v="2638.2"/>
    <n v="1"/>
    <n v="8794"/>
    <x v="54"/>
    <x v="3"/>
    <d v="2022-04-01T00:00:00"/>
  </r>
  <r>
    <s v="Cliente 593"/>
    <x v="1"/>
    <x v="1"/>
    <x v="0"/>
    <s v="Novo"/>
    <s v="932.849.069-03"/>
    <s v="93284906903"/>
    <n v="4182"/>
    <n v="0"/>
    <n v="4182"/>
    <n v="836.40000000000009"/>
    <n v="1"/>
    <n v="4182"/>
    <x v="120"/>
    <x v="9"/>
    <d v="2022-06-01T00:00:00"/>
  </r>
  <r>
    <s v="Cliente 127"/>
    <x v="4"/>
    <x v="2"/>
    <x v="1"/>
    <s v="Renovação"/>
    <s v="934.224.355-68"/>
    <s v="93422435568"/>
    <n v="6938"/>
    <n v="6851"/>
    <n v="87"/>
    <n v="26.099999999999998"/>
    <n v="1"/>
    <n v="6938"/>
    <x v="89"/>
    <x v="6"/>
    <d v="2022-04-01T00:00:00"/>
  </r>
  <r>
    <s v="Cliente 444"/>
    <x v="5"/>
    <x v="0"/>
    <x v="0"/>
    <s v="Renovação"/>
    <s v="934.690.386-79"/>
    <s v="93469038679"/>
    <n v="9403"/>
    <n v="7800"/>
    <n v="1603"/>
    <n v="320.60000000000002"/>
    <n v="1"/>
    <n v="9403"/>
    <x v="51"/>
    <x v="8"/>
    <d v="2022-05-01T00:00:00"/>
  </r>
  <r>
    <s v="Cliente 517"/>
    <x v="7"/>
    <x v="1"/>
    <x v="0"/>
    <s v="Novo"/>
    <s v="935.538.950-19"/>
    <s v="93553895019"/>
    <n v="2964"/>
    <n v="0"/>
    <n v="2964"/>
    <n v="592.80000000000007"/>
    <n v="1"/>
    <n v="2964"/>
    <x v="59"/>
    <x v="1"/>
    <d v="2022-05-01T00:00:00"/>
  </r>
  <r>
    <s v="Cliente 436"/>
    <x v="1"/>
    <x v="1"/>
    <x v="0"/>
    <s v="Renovação"/>
    <s v="937.527.565-73"/>
    <s v="93752756573"/>
    <n v="8374"/>
    <n v="2949"/>
    <n v="5425"/>
    <n v="1085"/>
    <n v="1"/>
    <n v="8374"/>
    <x v="9"/>
    <x v="7"/>
    <d v="2022-07-01T00:00:00"/>
  </r>
  <r>
    <s v="Cliente 573"/>
    <x v="6"/>
    <x v="1"/>
    <x v="0"/>
    <s v="Novo"/>
    <s v="939.349.389-68"/>
    <s v="93934938968"/>
    <n v="3487"/>
    <n v="0"/>
    <n v="3487"/>
    <n v="697.40000000000009"/>
    <n v="1"/>
    <n v="3487"/>
    <x v="19"/>
    <x v="1"/>
    <d v="2022-05-01T00:00:00"/>
  </r>
  <r>
    <s v="Cliente 348"/>
    <x v="0"/>
    <x v="0"/>
    <x v="0"/>
    <s v="Renovação"/>
    <s v="939.930.581-13"/>
    <s v="93993058113"/>
    <n v="8211"/>
    <n v="2170"/>
    <n v="6041"/>
    <n v="1208.2"/>
    <n v="1"/>
    <n v="8211"/>
    <x v="67"/>
    <x v="8"/>
    <d v="2022-05-01T00:00:00"/>
  </r>
  <r>
    <s v="Cliente 84"/>
    <x v="1"/>
    <x v="1"/>
    <x v="1"/>
    <s v="Renovação"/>
    <s v="942.949.260-90"/>
    <s v="94294926090"/>
    <n v="3480"/>
    <n v="6081"/>
    <n v="0"/>
    <n v="0"/>
    <n v="0"/>
    <n v="0"/>
    <x v="10"/>
    <x v="4"/>
    <b v="0"/>
  </r>
  <r>
    <s v="Cliente 107"/>
    <x v="6"/>
    <x v="1"/>
    <x v="1"/>
    <s v="Renovação"/>
    <s v="943.618.284-20"/>
    <s v="94361828420"/>
    <n v="2644"/>
    <n v="1902"/>
    <n v="742"/>
    <n v="0"/>
    <n v="0"/>
    <n v="0"/>
    <x v="10"/>
    <x v="4"/>
    <b v="0"/>
  </r>
  <r>
    <s v="Cliente 508"/>
    <x v="7"/>
    <x v="1"/>
    <x v="0"/>
    <s v="Novo"/>
    <s v="947.125.882-99"/>
    <s v="94712588299"/>
    <n v="6705"/>
    <n v="0"/>
    <n v="6705"/>
    <n v="1341"/>
    <n v="1"/>
    <n v="6705"/>
    <x v="94"/>
    <x v="3"/>
    <d v="2022-04-01T00:00:00"/>
  </r>
  <r>
    <s v="Cliente 560"/>
    <x v="5"/>
    <x v="0"/>
    <x v="0"/>
    <s v="Novo"/>
    <s v="950.159.030-29"/>
    <s v="95015903029"/>
    <n v="9473"/>
    <n v="0"/>
    <n v="9473"/>
    <n v="1894.6000000000001"/>
    <n v="1"/>
    <n v="9473"/>
    <x v="32"/>
    <x v="2"/>
    <d v="2022-07-01T00:00:00"/>
  </r>
  <r>
    <s v="Cliente 496"/>
    <x v="6"/>
    <x v="1"/>
    <x v="0"/>
    <s v="Novo"/>
    <s v="950.383.894-49"/>
    <s v="95038389449"/>
    <n v="5149"/>
    <n v="0"/>
    <n v="5149"/>
    <n v="1029.8"/>
    <n v="1"/>
    <n v="5149"/>
    <x v="106"/>
    <x v="3"/>
    <d v="2022-04-01T00:00:00"/>
  </r>
  <r>
    <s v="Cliente 408"/>
    <x v="5"/>
    <x v="0"/>
    <x v="0"/>
    <s v="Renovação"/>
    <s v="950.623.884-52"/>
    <s v="95062388452"/>
    <n v="2302"/>
    <n v="4190"/>
    <n v="0"/>
    <n v="0"/>
    <n v="1"/>
    <n v="2302"/>
    <x v="100"/>
    <x v="8"/>
    <d v="2022-05-01T00:00:00"/>
  </r>
  <r>
    <s v="Cliente 49"/>
    <x v="4"/>
    <x v="2"/>
    <x v="1"/>
    <s v="Renovação"/>
    <s v="955.974.576-29"/>
    <s v="95597457629"/>
    <n v="7242"/>
    <n v="9378"/>
    <n v="0"/>
    <n v="0"/>
    <n v="0"/>
    <n v="0"/>
    <x v="10"/>
    <x v="5"/>
    <b v="0"/>
  </r>
  <r>
    <s v="Cliente 312"/>
    <x v="1"/>
    <x v="1"/>
    <x v="0"/>
    <s v="Renovação"/>
    <s v="962.898.832-84"/>
    <s v="96289883284"/>
    <n v="7921"/>
    <n v="2951"/>
    <n v="4970"/>
    <n v="994"/>
    <n v="1"/>
    <n v="7921"/>
    <x v="105"/>
    <x v="7"/>
    <d v="2022-07-01T00:00:00"/>
  </r>
  <r>
    <s v="Cliente 210"/>
    <x v="0"/>
    <x v="0"/>
    <x v="1"/>
    <s v="Novo"/>
    <s v="963.498.948-99"/>
    <s v="96349894899"/>
    <n v="8546"/>
    <n v="0"/>
    <n v="8546"/>
    <n v="2563.7999999999997"/>
    <n v="1"/>
    <n v="8546"/>
    <x v="58"/>
    <x v="2"/>
    <d v="2022-07-01T00:00:00"/>
  </r>
  <r>
    <s v="Cliente 476"/>
    <x v="0"/>
    <x v="0"/>
    <x v="0"/>
    <s v="Novo"/>
    <s v="972.882.062-97"/>
    <s v="97288206297"/>
    <n v="8529"/>
    <n v="0"/>
    <n v="8529"/>
    <n v="1705.8000000000002"/>
    <n v="1"/>
    <n v="8529"/>
    <x v="64"/>
    <x v="2"/>
    <d v="2022-07-01T00:00:00"/>
  </r>
  <r>
    <s v="Cliente 396"/>
    <x v="0"/>
    <x v="0"/>
    <x v="0"/>
    <s v="Renovação"/>
    <s v="973.858.301-52"/>
    <s v="97385830152"/>
    <n v="1498"/>
    <n v="4102"/>
    <n v="0"/>
    <n v="0"/>
    <n v="1"/>
    <n v="1498"/>
    <x v="96"/>
    <x v="8"/>
    <d v="2022-05-01T00:00:00"/>
  </r>
  <r>
    <s v="Cliente 221"/>
    <x v="2"/>
    <x v="2"/>
    <x v="1"/>
    <s v="Novo"/>
    <s v="974.562.680-29"/>
    <s v="97456268029"/>
    <n v="4146"/>
    <n v="0"/>
    <n v="4146"/>
    <n v="1243.8"/>
    <n v="1"/>
    <n v="4146"/>
    <x v="1"/>
    <x v="8"/>
    <d v="2022-05-01T00:00:00"/>
  </r>
  <r>
    <s v="Cliente 61"/>
    <x v="6"/>
    <x v="1"/>
    <x v="1"/>
    <s v="Renovação"/>
    <s v="974.623.686-99"/>
    <s v="97462368699"/>
    <n v="4417"/>
    <n v="7172"/>
    <n v="0"/>
    <n v="0"/>
    <n v="1"/>
    <n v="4417"/>
    <x v="89"/>
    <x v="3"/>
    <d v="2022-04-01T00:00:00"/>
  </r>
  <r>
    <s v="Cliente 170"/>
    <x v="6"/>
    <x v="1"/>
    <x v="1"/>
    <s v="Novo"/>
    <s v="980.090.296-94"/>
    <s v="98009029694"/>
    <n v="4382"/>
    <n v="0"/>
    <n v="4382"/>
    <n v="1314.6"/>
    <n v="1"/>
    <n v="4382"/>
    <x v="70"/>
    <x v="3"/>
    <d v="2022-04-01T00:00:00"/>
  </r>
  <r>
    <s v="Cliente 93"/>
    <x v="1"/>
    <x v="1"/>
    <x v="1"/>
    <s v="Renovação"/>
    <s v="982.949.728-93"/>
    <s v="98294972893"/>
    <n v="9928"/>
    <n v="2292"/>
    <n v="7636"/>
    <n v="0"/>
    <n v="0"/>
    <n v="0"/>
    <x v="10"/>
    <x v="4"/>
    <b v="0"/>
  </r>
  <r>
    <s v="Cliente 8"/>
    <x v="4"/>
    <x v="2"/>
    <x v="1"/>
    <s v="Renovação"/>
    <s v="983.629.863-93"/>
    <s v="98362986393"/>
    <n v="5370"/>
    <n v="1938"/>
    <n v="3432"/>
    <n v="1029.5999999999999"/>
    <n v="1"/>
    <n v="5370"/>
    <x v="96"/>
    <x v="8"/>
    <d v="2022-05-01T00:00:00"/>
  </r>
  <r>
    <s v="Cliente 169"/>
    <x v="4"/>
    <x v="2"/>
    <x v="1"/>
    <s v="Novo"/>
    <s v="988.445.438-75"/>
    <s v="98844543875"/>
    <n v="8866"/>
    <n v="0"/>
    <n v="8866"/>
    <n v="2659.7999999999997"/>
    <n v="1"/>
    <n v="8866"/>
    <x v="102"/>
    <x v="0"/>
    <d v="2022-06-01T00:00:00"/>
  </r>
  <r>
    <s v="Cliente 189"/>
    <x v="3"/>
    <x v="2"/>
    <x v="1"/>
    <s v="Novo"/>
    <s v="989.585.873-27"/>
    <s v="98958587327"/>
    <n v="2031"/>
    <n v="0"/>
    <n v="2031"/>
    <n v="609.29999999999995"/>
    <n v="1"/>
    <n v="2031"/>
    <x v="86"/>
    <x v="2"/>
    <d v="2022-07-01T00:00:00"/>
  </r>
  <r>
    <s v="Cliente 29"/>
    <x v="5"/>
    <x v="0"/>
    <x v="1"/>
    <s v="Renovação"/>
    <s v="998.547.899-40"/>
    <s v="99854789940"/>
    <n v="3121"/>
    <n v="6461"/>
    <n v="0"/>
    <n v="0"/>
    <n v="1"/>
    <n v="3121"/>
    <x v="109"/>
    <x v="2"/>
    <d v="2022-07-01T00:00:00"/>
  </r>
  <r>
    <s v="Cliente 94"/>
    <x v="2"/>
    <x v="2"/>
    <x v="1"/>
    <s v="Renovação"/>
    <s v="999.479.926-66"/>
    <s v="99947992666"/>
    <n v="8321"/>
    <n v="9455"/>
    <n v="0"/>
    <n v="0"/>
    <n v="1"/>
    <n v="8321"/>
    <x v="92"/>
    <x v="8"/>
    <d v="2022-05-01T00:00:00"/>
  </r>
  <r>
    <s v="Cliente 21"/>
    <x v="5"/>
    <x v="0"/>
    <x v="1"/>
    <s v="Renovação"/>
    <s v="999.543.040-75"/>
    <s v="99954304075"/>
    <n v="1716"/>
    <n v="2809"/>
    <n v="0"/>
    <n v="0"/>
    <n v="1"/>
    <n v="1716"/>
    <x v="48"/>
    <x v="8"/>
    <d v="2022-05-01T00:00:00"/>
  </r>
  <r>
    <s v="Cliente 387"/>
    <x v="4"/>
    <x v="2"/>
    <x v="0"/>
    <s v="Renovação"/>
    <s v="999.634.701-90"/>
    <s v="99963470190"/>
    <n v="2589"/>
    <n v="7627"/>
    <n v="0"/>
    <n v="0"/>
    <n v="1"/>
    <n v="2589"/>
    <x v="74"/>
    <x v="8"/>
    <d v="2022-05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FF7B4-A806-46F7-BBB0-309E48103D69}" name="Tabela dinâmica5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K31:L44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4" showAll="0">
      <items count="123">
        <item x="10"/>
        <item x="89"/>
        <item x="65"/>
        <item x="106"/>
        <item x="63"/>
        <item x="94"/>
        <item x="54"/>
        <item x="42"/>
        <item x="104"/>
        <item x="40"/>
        <item x="16"/>
        <item x="46"/>
        <item x="98"/>
        <item x="79"/>
        <item x="114"/>
        <item x="13"/>
        <item x="38"/>
        <item x="118"/>
        <item x="21"/>
        <item x="107"/>
        <item x="62"/>
        <item x="6"/>
        <item x="18"/>
        <item x="117"/>
        <item x="31"/>
        <item x="84"/>
        <item x="35"/>
        <item x="56"/>
        <item x="8"/>
        <item x="72"/>
        <item x="70"/>
        <item x="88"/>
        <item x="44"/>
        <item x="90"/>
        <item x="96"/>
        <item x="1"/>
        <item x="27"/>
        <item x="112"/>
        <item x="115"/>
        <item x="78"/>
        <item x="15"/>
        <item x="67"/>
        <item x="100"/>
        <item x="51"/>
        <item x="41"/>
        <item x="22"/>
        <item x="45"/>
        <item x="76"/>
        <item x="103"/>
        <item x="74"/>
        <item x="57"/>
        <item x="48"/>
        <item x="69"/>
        <item x="36"/>
        <item x="34"/>
        <item x="19"/>
        <item x="59"/>
        <item x="95"/>
        <item x="85"/>
        <item x="92"/>
        <item x="23"/>
        <item x="82"/>
        <item x="37"/>
        <item x="120"/>
        <item x="71"/>
        <item x="49"/>
        <item x="25"/>
        <item x="99"/>
        <item x="97"/>
        <item x="53"/>
        <item x="24"/>
        <item x="81"/>
        <item x="43"/>
        <item x="111"/>
        <item x="60"/>
        <item x="66"/>
        <item x="83"/>
        <item x="20"/>
        <item x="75"/>
        <item x="52"/>
        <item x="101"/>
        <item x="116"/>
        <item x="47"/>
        <item x="102"/>
        <item x="26"/>
        <item x="113"/>
        <item x="93"/>
        <item x="108"/>
        <item x="28"/>
        <item x="110"/>
        <item x="0"/>
        <item x="30"/>
        <item x="29"/>
        <item x="77"/>
        <item x="50"/>
        <item x="68"/>
        <item x="119"/>
        <item x="109"/>
        <item x="61"/>
        <item x="32"/>
        <item x="11"/>
        <item x="39"/>
        <item x="80"/>
        <item x="3"/>
        <item x="5"/>
        <item x="14"/>
        <item x="2"/>
        <item x="105"/>
        <item x="4"/>
        <item x="64"/>
        <item x="86"/>
        <item x="12"/>
        <item x="58"/>
        <item x="55"/>
        <item x="9"/>
        <item x="91"/>
        <item x="7"/>
        <item x="17"/>
        <item x="33"/>
        <item x="87"/>
        <item x="73"/>
        <item x="121"/>
        <item t="default"/>
      </items>
    </pivotField>
    <pivotField axis="axisRow" numFmtId="14" showAll="0">
      <items count="13">
        <item x="4"/>
        <item x="5"/>
        <item x="3"/>
        <item x="6"/>
        <item x="1"/>
        <item x="8"/>
        <item x="9"/>
        <item x="0"/>
        <item x="7"/>
        <item x="2"/>
        <item x="11"/>
        <item x="10"/>
        <item t="default"/>
      </items>
    </pivotField>
    <pivotField showAll="0"/>
    <pivotField showAll="0" defaultSubtotal="0"/>
    <pivotField showAll="0" defaultSubtotal="0"/>
    <pivotField showAll="0" defaultSubtota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Comissão Real" fld="10" baseField="0" baseItem="0" numFmtId="16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16298-2E41-4736-B467-F58721F4A9CB}" name="Tabela dinâ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31:C35" firstHeaderRow="1" firstDataRow="1" firstDataCol="1"/>
  <pivotFields count="22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4" showAll="0">
      <items count="123">
        <item x="10"/>
        <item x="89"/>
        <item x="65"/>
        <item x="106"/>
        <item x="63"/>
        <item x="94"/>
        <item x="54"/>
        <item x="42"/>
        <item x="104"/>
        <item x="40"/>
        <item x="16"/>
        <item x="46"/>
        <item x="98"/>
        <item x="79"/>
        <item x="114"/>
        <item x="13"/>
        <item x="38"/>
        <item x="118"/>
        <item x="21"/>
        <item x="107"/>
        <item x="62"/>
        <item x="6"/>
        <item x="18"/>
        <item x="117"/>
        <item x="31"/>
        <item x="84"/>
        <item x="35"/>
        <item x="56"/>
        <item x="8"/>
        <item x="72"/>
        <item x="70"/>
        <item x="88"/>
        <item x="44"/>
        <item x="90"/>
        <item x="96"/>
        <item x="1"/>
        <item x="27"/>
        <item x="112"/>
        <item x="115"/>
        <item x="78"/>
        <item x="15"/>
        <item x="67"/>
        <item x="100"/>
        <item x="51"/>
        <item x="41"/>
        <item x="22"/>
        <item x="45"/>
        <item x="76"/>
        <item x="103"/>
        <item x="74"/>
        <item x="57"/>
        <item x="48"/>
        <item x="69"/>
        <item x="36"/>
        <item x="34"/>
        <item x="19"/>
        <item x="59"/>
        <item x="95"/>
        <item x="85"/>
        <item x="92"/>
        <item x="23"/>
        <item x="82"/>
        <item x="37"/>
        <item x="120"/>
        <item x="71"/>
        <item x="49"/>
        <item x="25"/>
        <item x="99"/>
        <item x="97"/>
        <item x="53"/>
        <item x="24"/>
        <item x="81"/>
        <item x="43"/>
        <item x="111"/>
        <item x="60"/>
        <item x="66"/>
        <item x="83"/>
        <item x="20"/>
        <item x="75"/>
        <item x="52"/>
        <item x="101"/>
        <item x="116"/>
        <item x="47"/>
        <item x="102"/>
        <item x="26"/>
        <item x="113"/>
        <item x="93"/>
        <item x="108"/>
        <item x="28"/>
        <item x="110"/>
        <item x="0"/>
        <item x="30"/>
        <item x="29"/>
        <item x="77"/>
        <item x="50"/>
        <item x="68"/>
        <item x="119"/>
        <item x="109"/>
        <item x="61"/>
        <item x="32"/>
        <item x="11"/>
        <item x="39"/>
        <item x="80"/>
        <item x="3"/>
        <item x="5"/>
        <item x="14"/>
        <item x="2"/>
        <item x="105"/>
        <item x="4"/>
        <item x="64"/>
        <item x="86"/>
        <item x="12"/>
        <item x="58"/>
        <item x="55"/>
        <item x="9"/>
        <item x="91"/>
        <item x="7"/>
        <item x="17"/>
        <item x="33"/>
        <item x="87"/>
        <item x="73"/>
        <item x="121"/>
        <item t="default"/>
      </items>
    </pivotField>
    <pivotField numFmtId="14" showAll="0">
      <items count="13">
        <item x="4"/>
        <item x="5"/>
        <item x="3"/>
        <item x="6"/>
        <item x="1"/>
        <item x="8"/>
        <item x="9"/>
        <item x="0"/>
        <item x="7"/>
        <item x="2"/>
        <item x="11"/>
        <item x="1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de venda" fld="7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15CB7-CB3C-44C5-A3B4-9EFF63E2F59D}" name="Tabela dinâ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K11:L14" firstHeaderRow="1" firstDataRow="1" firstDataCol="1"/>
  <pivotFields count="22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4" showAll="0">
      <items count="123">
        <item x="10"/>
        <item x="89"/>
        <item x="65"/>
        <item x="106"/>
        <item x="63"/>
        <item x="94"/>
        <item x="54"/>
        <item x="42"/>
        <item x="104"/>
        <item x="40"/>
        <item x="16"/>
        <item x="46"/>
        <item x="98"/>
        <item x="79"/>
        <item x="114"/>
        <item x="13"/>
        <item x="38"/>
        <item x="118"/>
        <item x="21"/>
        <item x="107"/>
        <item x="62"/>
        <item x="6"/>
        <item x="18"/>
        <item x="117"/>
        <item x="31"/>
        <item x="84"/>
        <item x="35"/>
        <item x="56"/>
        <item x="8"/>
        <item x="72"/>
        <item x="70"/>
        <item x="88"/>
        <item x="44"/>
        <item x="90"/>
        <item x="96"/>
        <item x="1"/>
        <item x="27"/>
        <item x="112"/>
        <item x="115"/>
        <item x="78"/>
        <item x="15"/>
        <item x="67"/>
        <item x="100"/>
        <item x="51"/>
        <item x="41"/>
        <item x="22"/>
        <item x="45"/>
        <item x="76"/>
        <item x="103"/>
        <item x="74"/>
        <item x="57"/>
        <item x="48"/>
        <item x="69"/>
        <item x="36"/>
        <item x="34"/>
        <item x="19"/>
        <item x="59"/>
        <item x="95"/>
        <item x="85"/>
        <item x="92"/>
        <item x="23"/>
        <item x="82"/>
        <item x="37"/>
        <item x="120"/>
        <item x="71"/>
        <item x="49"/>
        <item x="25"/>
        <item x="99"/>
        <item x="97"/>
        <item x="53"/>
        <item x="24"/>
        <item x="81"/>
        <item x="43"/>
        <item x="111"/>
        <item x="60"/>
        <item x="66"/>
        <item x="83"/>
        <item x="20"/>
        <item x="75"/>
        <item x="52"/>
        <item x="101"/>
        <item x="116"/>
        <item x="47"/>
        <item x="102"/>
        <item x="26"/>
        <item x="113"/>
        <item x="93"/>
        <item x="108"/>
        <item x="28"/>
        <item x="110"/>
        <item x="0"/>
        <item x="30"/>
        <item x="29"/>
        <item x="77"/>
        <item x="50"/>
        <item x="68"/>
        <item x="119"/>
        <item x="109"/>
        <item x="61"/>
        <item x="32"/>
        <item x="11"/>
        <item x="39"/>
        <item x="80"/>
        <item x="3"/>
        <item x="5"/>
        <item x="14"/>
        <item x="2"/>
        <item x="105"/>
        <item x="4"/>
        <item x="64"/>
        <item x="86"/>
        <item x="12"/>
        <item x="58"/>
        <item x="55"/>
        <item x="9"/>
        <item x="91"/>
        <item x="7"/>
        <item x="17"/>
        <item x="33"/>
        <item x="87"/>
        <item x="73"/>
        <item x="121"/>
        <item t="default"/>
      </items>
    </pivotField>
    <pivotField numFmtId="14" showAll="0">
      <items count="13">
        <item x="4"/>
        <item x="5"/>
        <item x="3"/>
        <item x="6"/>
        <item x="1"/>
        <item x="8"/>
        <item x="9"/>
        <item x="0"/>
        <item x="7"/>
        <item x="2"/>
        <item x="11"/>
        <item x="1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oma de Valor de venda" fld="7" baseField="0" baseItem="0" numFmtId="164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1BDE7-6310-476F-B408-A597F036D535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1:C20" firstHeaderRow="1" firstDataRow="1" firstDataCol="1"/>
  <pivotFields count="22">
    <pivotField showAll="0"/>
    <pivotField axis="axisRow" showAll="0">
      <items count="9">
        <item x="1"/>
        <item x="6"/>
        <item x="7"/>
        <item x="4"/>
        <item x="3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4" showAll="0">
      <items count="123">
        <item x="10"/>
        <item x="89"/>
        <item x="65"/>
        <item x="106"/>
        <item x="63"/>
        <item x="94"/>
        <item x="54"/>
        <item x="42"/>
        <item x="104"/>
        <item x="40"/>
        <item x="16"/>
        <item x="46"/>
        <item x="98"/>
        <item x="79"/>
        <item x="114"/>
        <item x="13"/>
        <item x="38"/>
        <item x="118"/>
        <item x="21"/>
        <item x="107"/>
        <item x="62"/>
        <item x="6"/>
        <item x="18"/>
        <item x="117"/>
        <item x="31"/>
        <item x="84"/>
        <item x="35"/>
        <item x="56"/>
        <item x="8"/>
        <item x="72"/>
        <item x="70"/>
        <item x="88"/>
        <item x="44"/>
        <item x="90"/>
        <item x="96"/>
        <item x="1"/>
        <item x="27"/>
        <item x="112"/>
        <item x="115"/>
        <item x="78"/>
        <item x="15"/>
        <item x="67"/>
        <item x="100"/>
        <item x="51"/>
        <item x="41"/>
        <item x="22"/>
        <item x="45"/>
        <item x="76"/>
        <item x="103"/>
        <item x="74"/>
        <item x="57"/>
        <item x="48"/>
        <item x="69"/>
        <item x="36"/>
        <item x="34"/>
        <item x="19"/>
        <item x="59"/>
        <item x="95"/>
        <item x="85"/>
        <item x="92"/>
        <item x="23"/>
        <item x="82"/>
        <item x="37"/>
        <item x="120"/>
        <item x="71"/>
        <item x="49"/>
        <item x="25"/>
        <item x="99"/>
        <item x="97"/>
        <item x="53"/>
        <item x="24"/>
        <item x="81"/>
        <item x="43"/>
        <item x="111"/>
        <item x="60"/>
        <item x="66"/>
        <item x="83"/>
        <item x="20"/>
        <item x="75"/>
        <item x="52"/>
        <item x="101"/>
        <item x="116"/>
        <item x="47"/>
        <item x="102"/>
        <item x="26"/>
        <item x="113"/>
        <item x="93"/>
        <item x="108"/>
        <item x="28"/>
        <item x="110"/>
        <item x="0"/>
        <item x="30"/>
        <item x="29"/>
        <item x="77"/>
        <item x="50"/>
        <item x="68"/>
        <item x="119"/>
        <item x="109"/>
        <item x="61"/>
        <item x="32"/>
        <item x="11"/>
        <item x="39"/>
        <item x="80"/>
        <item x="3"/>
        <item x="5"/>
        <item x="14"/>
        <item x="2"/>
        <item x="105"/>
        <item x="4"/>
        <item x="64"/>
        <item x="86"/>
        <item x="12"/>
        <item x="58"/>
        <item x="55"/>
        <item x="9"/>
        <item x="91"/>
        <item x="7"/>
        <item x="17"/>
        <item x="33"/>
        <item x="87"/>
        <item x="73"/>
        <item x="121"/>
        <item t="default"/>
      </items>
    </pivotField>
    <pivotField numFmtId="14" showAll="0">
      <items count="13">
        <item x="4"/>
        <item x="5"/>
        <item x="3"/>
        <item x="6"/>
        <item x="1"/>
        <item x="8"/>
        <item x="9"/>
        <item x="0"/>
        <item x="7"/>
        <item x="2"/>
        <item x="11"/>
        <item x="1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Comissão Real" fld="10" baseField="0" baseItem="0" numFmtId="164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>
      <selection activeCell="K1" sqref="K1"/>
    </sheetView>
  </sheetViews>
  <sheetFormatPr defaultColWidth="12.5703125" defaultRowHeight="15.75" customHeight="1" x14ac:dyDescent="0.2"/>
  <cols>
    <col min="1" max="1" width="9.42578125" customWidth="1"/>
    <col min="2" max="2" width="11.140625" customWidth="1"/>
    <col min="3" max="3" width="16.28515625" customWidth="1"/>
    <col min="4" max="4" width="10.7109375" customWidth="1"/>
    <col min="5" max="5" width="9.42578125" customWidth="1"/>
    <col min="6" max="6" width="23.42578125" customWidth="1"/>
    <col min="7" max="7" width="29.7109375" customWidth="1"/>
    <col min="8" max="8" width="16.7109375" bestFit="1" customWidth="1"/>
    <col min="9" max="9" width="14" customWidth="1"/>
    <col min="10" max="10" width="20.85546875" bestFit="1" customWidth="1"/>
    <col min="11" max="11" width="21.42578125" bestFit="1" customWidth="1"/>
    <col min="12" max="12" width="27.28515625" bestFit="1" customWidth="1"/>
    <col min="13" max="13" width="20.140625" bestFit="1" customWidth="1"/>
    <col min="14" max="14" width="19.28515625" bestFit="1" customWidth="1"/>
    <col min="15" max="15" width="25.42578125" customWidth="1"/>
    <col min="16" max="16" width="26" bestFit="1" customWidth="1"/>
  </cols>
  <sheetData>
    <row r="1" spans="1:16" ht="15.75" customHeight="1" x14ac:dyDescent="0.25">
      <c r="A1" s="26" t="s">
        <v>0</v>
      </c>
      <c r="B1" s="26" t="s">
        <v>1</v>
      </c>
      <c r="C1" s="27" t="s">
        <v>2</v>
      </c>
      <c r="D1" s="28" t="s">
        <v>3</v>
      </c>
      <c r="E1" s="28" t="s">
        <v>4</v>
      </c>
      <c r="F1" s="28" t="s">
        <v>5</v>
      </c>
      <c r="G1" s="29" t="s">
        <v>6</v>
      </c>
      <c r="H1" s="28" t="s">
        <v>7</v>
      </c>
      <c r="I1" s="28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</row>
    <row r="2" spans="1:16" ht="15.75" customHeight="1" x14ac:dyDescent="0.25">
      <c r="A2" s="2" t="s">
        <v>16</v>
      </c>
      <c r="B2" s="2" t="s">
        <v>17</v>
      </c>
      <c r="C2" s="3" t="str">
        <f>VLOOKUP(B2,Dados!$A$3:$B$10,2,FALSE)</f>
        <v>Time 3</v>
      </c>
      <c r="D2" s="2" t="s">
        <v>18</v>
      </c>
      <c r="E2" s="2" t="s">
        <v>19</v>
      </c>
      <c r="F2" s="4">
        <v>10347849894</v>
      </c>
      <c r="G2" s="5" t="str">
        <f t="shared" ref="G2:G256" si="0">SUBSTITUTE(SUBSTITUTE(F2,"-",""),".","")</f>
        <v>10347849894</v>
      </c>
      <c r="H2" s="6">
        <v>6830</v>
      </c>
      <c r="I2" s="6">
        <v>0</v>
      </c>
      <c r="J2" s="7">
        <f t="shared" ref="J2:J256" si="1">IF(E2="Novo",H2,IF(AND(H2&gt;I2,E2="Renovação"),H2-I2,0))</f>
        <v>6830</v>
      </c>
      <c r="K2" s="7">
        <f t="shared" ref="K2:K256" si="2">IF(M2&gt;0,IF(D2="Móvel",J2*30%,J2*20%),0)</f>
        <v>1366</v>
      </c>
      <c r="L2" s="7">
        <f t="shared" ref="L2:L256" si="3">IF(M2&gt;0,1,0)</f>
        <v>1</v>
      </c>
      <c r="M2" s="7">
        <f>IFERROR(VLOOKUP(G2,'Base de faturamento'!A:C,2,FALSE),0)</f>
        <v>6830</v>
      </c>
      <c r="N2" s="8">
        <f>IFERROR(VLOOKUP(G2,'Base de faturamento'!A:C,3,FALSE),0)</f>
        <v>44710</v>
      </c>
      <c r="O2" s="8">
        <f t="shared" ref="O2:O256" si="4">IF(C2="Time 1",DATE(YEAR(N2),MONTH(N2),15),DATE(YEAR(N2),MONTH(N2)+1,1))</f>
        <v>44713</v>
      </c>
      <c r="P2" s="8">
        <f t="shared" ref="P2:P256" si="5">IF(L2=1,DATE(YEAR(N2),MONTH(N2)+1,1))</f>
        <v>44713</v>
      </c>
    </row>
    <row r="3" spans="1:16" ht="15.75" customHeight="1" x14ac:dyDescent="0.25">
      <c r="A3" s="2" t="s">
        <v>20</v>
      </c>
      <c r="B3" s="2" t="s">
        <v>21</v>
      </c>
      <c r="C3" s="3" t="str">
        <f>VLOOKUP(B3,Dados!$A$3:$B$10,2,FALSE)</f>
        <v>Time 1</v>
      </c>
      <c r="D3" s="2" t="s">
        <v>22</v>
      </c>
      <c r="E3" s="2" t="s">
        <v>19</v>
      </c>
      <c r="F3" s="4">
        <v>10558070640</v>
      </c>
      <c r="G3" s="5" t="str">
        <f t="shared" si="0"/>
        <v>10558070640</v>
      </c>
      <c r="H3" s="6">
        <v>1577</v>
      </c>
      <c r="I3" s="6">
        <v>0</v>
      </c>
      <c r="J3" s="7">
        <f t="shared" si="1"/>
        <v>1577</v>
      </c>
      <c r="K3" s="7">
        <f t="shared" si="2"/>
        <v>473.09999999999997</v>
      </c>
      <c r="L3" s="7">
        <f t="shared" si="3"/>
        <v>1</v>
      </c>
      <c r="M3" s="7">
        <f>IFERROR(VLOOKUP(G3,'Base de faturamento'!A:C,2,FALSE),0)</f>
        <v>1577</v>
      </c>
      <c r="N3" s="8">
        <f>IFERROR(VLOOKUP(G3,'Base de faturamento'!A:C,3,FALSE),0)</f>
        <v>44655</v>
      </c>
      <c r="O3" s="8">
        <f t="shared" si="4"/>
        <v>44666</v>
      </c>
      <c r="P3" s="8">
        <f t="shared" si="5"/>
        <v>44682</v>
      </c>
    </row>
    <row r="4" spans="1:16" ht="15.75" customHeight="1" x14ac:dyDescent="0.25">
      <c r="A4" s="2" t="s">
        <v>23</v>
      </c>
      <c r="B4" s="2" t="s">
        <v>24</v>
      </c>
      <c r="C4" s="3" t="str">
        <f>VLOOKUP(B4,Dados!$A$3:$B$10,2,FALSE)</f>
        <v>Time 2</v>
      </c>
      <c r="D4" s="2" t="s">
        <v>22</v>
      </c>
      <c r="E4" s="2" t="s">
        <v>25</v>
      </c>
      <c r="F4" s="4">
        <v>11470034718</v>
      </c>
      <c r="G4" s="5" t="str">
        <f t="shared" si="0"/>
        <v>11470034718</v>
      </c>
      <c r="H4" s="6">
        <v>8926</v>
      </c>
      <c r="I4" s="6">
        <v>8058</v>
      </c>
      <c r="J4" s="7">
        <f t="shared" si="1"/>
        <v>868</v>
      </c>
      <c r="K4" s="7">
        <f t="shared" si="2"/>
        <v>260.39999999999998</v>
      </c>
      <c r="L4" s="7">
        <f t="shared" si="3"/>
        <v>1</v>
      </c>
      <c r="M4" s="7">
        <f>IFERROR(VLOOKUP(G4,'Base de faturamento'!A:C,2,FALSE),0)</f>
        <v>8926</v>
      </c>
      <c r="N4" s="8">
        <f>IFERROR(VLOOKUP(G4,'Base de faturamento'!A:C,3,FALSE),0)</f>
        <v>44728</v>
      </c>
      <c r="O4" s="8">
        <f t="shared" si="4"/>
        <v>44743</v>
      </c>
      <c r="P4" s="8">
        <f t="shared" si="5"/>
        <v>44743</v>
      </c>
    </row>
    <row r="5" spans="1:16" ht="15.75" customHeight="1" x14ac:dyDescent="0.25">
      <c r="A5" s="2" t="s">
        <v>26</v>
      </c>
      <c r="B5" s="2" t="s">
        <v>27</v>
      </c>
      <c r="C5" s="3" t="str">
        <f>VLOOKUP(B5,Dados!$A$3:$B$10,2,FALSE)</f>
        <v>Time 2</v>
      </c>
      <c r="D5" s="2" t="s">
        <v>22</v>
      </c>
      <c r="E5" s="2" t="s">
        <v>19</v>
      </c>
      <c r="F5" s="4">
        <v>12019485890</v>
      </c>
      <c r="G5" s="5" t="str">
        <f t="shared" si="0"/>
        <v>12019485890</v>
      </c>
      <c r="H5" s="6">
        <v>2799</v>
      </c>
      <c r="I5" s="6">
        <v>0</v>
      </c>
      <c r="J5" s="7">
        <f t="shared" si="1"/>
        <v>2799</v>
      </c>
      <c r="K5" s="7">
        <f t="shared" si="2"/>
        <v>839.69999999999993</v>
      </c>
      <c r="L5" s="7">
        <f t="shared" si="3"/>
        <v>1</v>
      </c>
      <c r="M5" s="7">
        <f>IFERROR(VLOOKUP(G5,'Base de faturamento'!A:C,2,FALSE),0)</f>
        <v>2799</v>
      </c>
      <c r="N5" s="8">
        <f>IFERROR(VLOOKUP(G5,'Base de faturamento'!A:C,3,FALSE),0)</f>
        <v>44723</v>
      </c>
      <c r="O5" s="8">
        <f t="shared" si="4"/>
        <v>44743</v>
      </c>
      <c r="P5" s="8">
        <f t="shared" si="5"/>
        <v>44743</v>
      </c>
    </row>
    <row r="6" spans="1:16" ht="15.75" customHeight="1" x14ac:dyDescent="0.25">
      <c r="A6" s="2" t="s">
        <v>28</v>
      </c>
      <c r="B6" s="2" t="s">
        <v>29</v>
      </c>
      <c r="C6" s="3" t="str">
        <f>VLOOKUP(B6,Dados!$A$3:$B$10,2,FALSE)</f>
        <v>Time 2</v>
      </c>
      <c r="D6" s="2" t="s">
        <v>22</v>
      </c>
      <c r="E6" s="2" t="s">
        <v>25</v>
      </c>
      <c r="F6" s="4">
        <v>12766025437</v>
      </c>
      <c r="G6" s="5" t="str">
        <f t="shared" si="0"/>
        <v>12766025437</v>
      </c>
      <c r="H6" s="6">
        <v>8941</v>
      </c>
      <c r="I6" s="6">
        <v>4282</v>
      </c>
      <c r="J6" s="7">
        <f t="shared" si="1"/>
        <v>4659</v>
      </c>
      <c r="K6" s="7">
        <f t="shared" si="2"/>
        <v>1397.7</v>
      </c>
      <c r="L6" s="7">
        <f t="shared" si="3"/>
        <v>1</v>
      </c>
      <c r="M6" s="7">
        <f>IFERROR(VLOOKUP(G6,'Base de faturamento'!A:C,2,FALSE),0)</f>
        <v>8941</v>
      </c>
      <c r="N6" s="8">
        <f>IFERROR(VLOOKUP(G6,'Base de faturamento'!A:C,3,FALSE),0)</f>
        <v>44730</v>
      </c>
      <c r="O6" s="8">
        <f t="shared" si="4"/>
        <v>44743</v>
      </c>
      <c r="P6" s="8">
        <f t="shared" si="5"/>
        <v>44743</v>
      </c>
    </row>
    <row r="7" spans="1:16" ht="15.75" customHeight="1" x14ac:dyDescent="0.25">
      <c r="A7" s="2" t="s">
        <v>30</v>
      </c>
      <c r="B7" s="2" t="s">
        <v>31</v>
      </c>
      <c r="C7" s="3" t="str">
        <f>VLOOKUP(B7,Dados!$A$3:$B$10,2,FALSE)</f>
        <v>Time 3</v>
      </c>
      <c r="D7" s="2" t="s">
        <v>18</v>
      </c>
      <c r="E7" s="2" t="s">
        <v>19</v>
      </c>
      <c r="F7" s="4">
        <v>13138163138</v>
      </c>
      <c r="G7" s="5" t="str">
        <f t="shared" si="0"/>
        <v>13138163138</v>
      </c>
      <c r="H7" s="6">
        <v>9601</v>
      </c>
      <c r="I7" s="6">
        <v>0</v>
      </c>
      <c r="J7" s="7">
        <f t="shared" si="1"/>
        <v>9601</v>
      </c>
      <c r="K7" s="7">
        <f t="shared" si="2"/>
        <v>1920.2</v>
      </c>
      <c r="L7" s="7">
        <f t="shared" si="3"/>
        <v>1</v>
      </c>
      <c r="M7" s="7">
        <f>IFERROR(VLOOKUP(G7,'Base de faturamento'!A:C,2,FALSE),0)</f>
        <v>9601</v>
      </c>
      <c r="N7" s="8">
        <f>IFERROR(VLOOKUP(G7,'Base de faturamento'!A:C,3,FALSE),0)</f>
        <v>44724</v>
      </c>
      <c r="O7" s="8">
        <f t="shared" si="4"/>
        <v>44743</v>
      </c>
      <c r="P7" s="8">
        <f t="shared" si="5"/>
        <v>44743</v>
      </c>
    </row>
    <row r="8" spans="1:16" ht="15.75" customHeight="1" x14ac:dyDescent="0.25">
      <c r="A8" s="2" t="s">
        <v>32</v>
      </c>
      <c r="B8" s="2" t="s">
        <v>33</v>
      </c>
      <c r="C8" s="3" t="str">
        <f>VLOOKUP(B8,Dados!$A$3:$B$10,2,FALSE)</f>
        <v>Time 1</v>
      </c>
      <c r="D8" s="2" t="s">
        <v>22</v>
      </c>
      <c r="E8" s="2" t="s">
        <v>19</v>
      </c>
      <c r="F8" s="4">
        <v>13486420884</v>
      </c>
      <c r="G8" s="5" t="str">
        <f t="shared" si="0"/>
        <v>13486420884</v>
      </c>
      <c r="H8" s="6">
        <v>6930</v>
      </c>
      <c r="I8" s="6">
        <v>0</v>
      </c>
      <c r="J8" s="7">
        <f t="shared" si="1"/>
        <v>6930</v>
      </c>
      <c r="K8" s="7">
        <f t="shared" si="2"/>
        <v>2079</v>
      </c>
      <c r="L8" s="7">
        <f t="shared" si="3"/>
        <v>1</v>
      </c>
      <c r="M8" s="7">
        <f>IFERROR(VLOOKUP(G8,'Base de faturamento'!A:C,2,FALSE),0)</f>
        <v>6930</v>
      </c>
      <c r="N8" s="8">
        <f>IFERROR(VLOOKUP(G8,'Base de faturamento'!A:C,3,FALSE),0)</f>
        <v>44641</v>
      </c>
      <c r="O8" s="8">
        <f t="shared" si="4"/>
        <v>44635</v>
      </c>
      <c r="P8" s="8">
        <f t="shared" si="5"/>
        <v>44652</v>
      </c>
    </row>
    <row r="9" spans="1:16" ht="15.75" customHeight="1" x14ac:dyDescent="0.25">
      <c r="A9" s="2" t="s">
        <v>34</v>
      </c>
      <c r="B9" s="2" t="s">
        <v>27</v>
      </c>
      <c r="C9" s="3" t="str">
        <f>VLOOKUP(B9,Dados!$A$3:$B$10,2,FALSE)</f>
        <v>Time 2</v>
      </c>
      <c r="D9" s="2" t="s">
        <v>18</v>
      </c>
      <c r="E9" s="2" t="s">
        <v>25</v>
      </c>
      <c r="F9" s="4">
        <v>14083526808</v>
      </c>
      <c r="G9" s="5" t="str">
        <f t="shared" si="0"/>
        <v>14083526808</v>
      </c>
      <c r="H9" s="6">
        <v>3049</v>
      </c>
      <c r="I9" s="6">
        <v>9678</v>
      </c>
      <c r="J9" s="7">
        <f t="shared" si="1"/>
        <v>0</v>
      </c>
      <c r="K9" s="7">
        <f t="shared" si="2"/>
        <v>0</v>
      </c>
      <c r="L9" s="7">
        <f t="shared" si="3"/>
        <v>1</v>
      </c>
      <c r="M9" s="7">
        <f>IFERROR(VLOOKUP(G9,'Base de faturamento'!A:C,2,FALSE),0)</f>
        <v>3049</v>
      </c>
      <c r="N9" s="8">
        <f>IFERROR(VLOOKUP(G9,'Base de faturamento'!A:C,3,FALSE),0)</f>
        <v>44738</v>
      </c>
      <c r="O9" s="8">
        <f t="shared" si="4"/>
        <v>44743</v>
      </c>
      <c r="P9" s="8">
        <f t="shared" si="5"/>
        <v>44743</v>
      </c>
    </row>
    <row r="10" spans="1:16" ht="15.75" customHeight="1" x14ac:dyDescent="0.25">
      <c r="A10" s="2" t="s">
        <v>35</v>
      </c>
      <c r="B10" s="2" t="s">
        <v>36</v>
      </c>
      <c r="C10" s="3" t="str">
        <f>VLOOKUP(B10,Dados!$A$3:$B$10,2,FALSE)</f>
        <v>Time 1</v>
      </c>
      <c r="D10" s="2" t="s">
        <v>18</v>
      </c>
      <c r="E10" s="2" t="s">
        <v>25</v>
      </c>
      <c r="F10" s="4">
        <v>14644757600</v>
      </c>
      <c r="G10" s="5" t="str">
        <f t="shared" si="0"/>
        <v>14644757600</v>
      </c>
      <c r="H10" s="6">
        <v>1363</v>
      </c>
      <c r="I10" s="6">
        <v>4809</v>
      </c>
      <c r="J10" s="7">
        <f t="shared" si="1"/>
        <v>0</v>
      </c>
      <c r="K10" s="7">
        <f t="shared" si="2"/>
        <v>0</v>
      </c>
      <c r="L10" s="7">
        <f t="shared" si="3"/>
        <v>1</v>
      </c>
      <c r="M10" s="7">
        <f>IFERROR(VLOOKUP(G10,'Base de faturamento'!A:C,2,FALSE),0)</f>
        <v>1363</v>
      </c>
      <c r="N10" s="8">
        <f>IFERROR(VLOOKUP(G10,'Base de faturamento'!A:C,3,FALSE),0)</f>
        <v>44648</v>
      </c>
      <c r="O10" s="8">
        <f t="shared" si="4"/>
        <v>44635</v>
      </c>
      <c r="P10" s="8">
        <f t="shared" si="5"/>
        <v>44652</v>
      </c>
    </row>
    <row r="11" spans="1:16" ht="15.75" customHeight="1" x14ac:dyDescent="0.25">
      <c r="A11" s="2" t="s">
        <v>37</v>
      </c>
      <c r="B11" s="2" t="s">
        <v>29</v>
      </c>
      <c r="C11" s="3" t="str">
        <f>VLOOKUP(B11,Dados!$A$3:$B$10,2,FALSE)</f>
        <v>Time 2</v>
      </c>
      <c r="D11" s="2" t="s">
        <v>18</v>
      </c>
      <c r="E11" s="2" t="s">
        <v>25</v>
      </c>
      <c r="F11" s="4">
        <v>15701060351</v>
      </c>
      <c r="G11" s="5" t="str">
        <f t="shared" si="0"/>
        <v>15701060351</v>
      </c>
      <c r="H11" s="6">
        <v>2543</v>
      </c>
      <c r="I11" s="6">
        <v>5761</v>
      </c>
      <c r="J11" s="7">
        <f t="shared" si="1"/>
        <v>0</v>
      </c>
      <c r="K11" s="7">
        <f t="shared" si="2"/>
        <v>0</v>
      </c>
      <c r="L11" s="7">
        <f t="shared" si="3"/>
        <v>1</v>
      </c>
      <c r="M11" s="7">
        <f>IFERROR(VLOOKUP(G11,'Base de faturamento'!A:C,2,FALSE),0)</f>
        <v>2543</v>
      </c>
      <c r="N11" s="8">
        <f>IFERROR(VLOOKUP(G11,'Base de faturamento'!A:C,3,FALSE),0)</f>
        <v>44736</v>
      </c>
      <c r="O11" s="8">
        <f t="shared" si="4"/>
        <v>44743</v>
      </c>
      <c r="P11" s="8">
        <f t="shared" si="5"/>
        <v>44743</v>
      </c>
    </row>
    <row r="12" spans="1:16" ht="15.75" customHeight="1" x14ac:dyDescent="0.25">
      <c r="A12" s="2" t="s">
        <v>38</v>
      </c>
      <c r="B12" s="2" t="s">
        <v>36</v>
      </c>
      <c r="C12" s="3" t="str">
        <f>VLOOKUP(B12,Dados!$A$3:$B$10,2,FALSE)</f>
        <v>Time 1</v>
      </c>
      <c r="D12" s="2" t="s">
        <v>22</v>
      </c>
      <c r="E12" s="2" t="s">
        <v>25</v>
      </c>
      <c r="F12" s="4">
        <v>15765206124</v>
      </c>
      <c r="G12" s="5" t="str">
        <f>SUBSTITUTE(SUBSTITUTE(F12,"-",""),".","")</f>
        <v>15765206124</v>
      </c>
      <c r="H12" s="6">
        <v>1254</v>
      </c>
      <c r="I12" s="6">
        <v>6922</v>
      </c>
      <c r="J12" s="7">
        <f t="shared" si="1"/>
        <v>0</v>
      </c>
      <c r="K12" s="7">
        <f t="shared" si="2"/>
        <v>0</v>
      </c>
      <c r="L12" s="7">
        <f t="shared" si="3"/>
        <v>0</v>
      </c>
      <c r="M12" s="7">
        <f>IFERROR(VLOOKUP(G12,'Base de faturamento'!A:C,2,FALSE),0)</f>
        <v>0</v>
      </c>
      <c r="N12" s="8">
        <f>IFERROR(VLOOKUP(G12,'Base de faturamento'!A:C,3,FALSE),0)</f>
        <v>0</v>
      </c>
      <c r="O12" s="8">
        <f t="shared" si="4"/>
        <v>15</v>
      </c>
      <c r="P12" s="9" t="b">
        <f t="shared" si="5"/>
        <v>0</v>
      </c>
    </row>
    <row r="13" spans="1:16" ht="15.75" customHeight="1" x14ac:dyDescent="0.25">
      <c r="A13" s="2" t="s">
        <v>39</v>
      </c>
      <c r="B13" s="2" t="s">
        <v>24</v>
      </c>
      <c r="C13" s="3" t="str">
        <f>VLOOKUP(B13,Dados!$A$3:$B$10,2,FALSE)</f>
        <v>Time 2</v>
      </c>
      <c r="D13" s="2" t="s">
        <v>22</v>
      </c>
      <c r="E13" s="2" t="s">
        <v>25</v>
      </c>
      <c r="F13" s="4">
        <v>16241068274</v>
      </c>
      <c r="G13" s="5" t="str">
        <f t="shared" si="0"/>
        <v>16241068274</v>
      </c>
      <c r="H13" s="6">
        <v>8232</v>
      </c>
      <c r="I13" s="6">
        <v>1456</v>
      </c>
      <c r="J13" s="7">
        <f t="shared" si="1"/>
        <v>6776</v>
      </c>
      <c r="K13" s="7">
        <f t="shared" si="2"/>
        <v>0</v>
      </c>
      <c r="L13" s="7">
        <f t="shared" si="3"/>
        <v>0</v>
      </c>
      <c r="M13" s="7">
        <f>IFERROR(VLOOKUP(G13,'Base de faturamento'!A:C,2,FALSE),0)</f>
        <v>0</v>
      </c>
      <c r="N13" s="8">
        <f>IFERROR(VLOOKUP(G13,'Base de faturamento'!A:C,3,FALSE),0)</f>
        <v>0</v>
      </c>
      <c r="O13" s="8">
        <f t="shared" si="4"/>
        <v>32</v>
      </c>
      <c r="P13" s="9" t="b">
        <f t="shared" si="5"/>
        <v>0</v>
      </c>
    </row>
    <row r="14" spans="1:16" ht="15.75" customHeight="1" x14ac:dyDescent="0.25">
      <c r="A14" s="2" t="s">
        <v>40</v>
      </c>
      <c r="B14" s="2" t="s">
        <v>27</v>
      </c>
      <c r="C14" s="3" t="str">
        <f>VLOOKUP(B14,Dados!$A$3:$B$10,2,FALSE)</f>
        <v>Time 2</v>
      </c>
      <c r="D14" s="2" t="s">
        <v>18</v>
      </c>
      <c r="E14" s="2" t="s">
        <v>19</v>
      </c>
      <c r="F14" s="4">
        <v>16624663764</v>
      </c>
      <c r="G14" s="5" t="str">
        <f t="shared" si="0"/>
        <v>16624663764</v>
      </c>
      <c r="H14" s="6">
        <v>3642</v>
      </c>
      <c r="I14" s="6">
        <v>0</v>
      </c>
      <c r="J14" s="7">
        <f t="shared" si="1"/>
        <v>3642</v>
      </c>
      <c r="K14" s="7">
        <f t="shared" si="2"/>
        <v>728.40000000000009</v>
      </c>
      <c r="L14" s="7">
        <f t="shared" si="3"/>
        <v>1</v>
      </c>
      <c r="M14" s="7">
        <f>IFERROR(VLOOKUP(G14,'Base de faturamento'!A:C,2,FALSE),0)</f>
        <v>3642</v>
      </c>
      <c r="N14" s="8">
        <f>IFERROR(VLOOKUP(G14,'Base de faturamento'!A:C,3,FALSE),0)</f>
        <v>44720</v>
      </c>
      <c r="O14" s="8">
        <f t="shared" si="4"/>
        <v>44743</v>
      </c>
      <c r="P14" s="8">
        <f t="shared" si="5"/>
        <v>44743</v>
      </c>
    </row>
    <row r="15" spans="1:16" ht="15.75" customHeight="1" x14ac:dyDescent="0.25">
      <c r="A15" s="2" t="s">
        <v>41</v>
      </c>
      <c r="B15" s="2" t="s">
        <v>24</v>
      </c>
      <c r="C15" s="3" t="str">
        <f>VLOOKUP(B15,Dados!$A$3:$B$10,2,FALSE)</f>
        <v>Time 2</v>
      </c>
      <c r="D15" s="2" t="s">
        <v>22</v>
      </c>
      <c r="E15" s="2" t="s">
        <v>19</v>
      </c>
      <c r="F15" s="4">
        <v>16708150877</v>
      </c>
      <c r="G15" s="5" t="str">
        <f t="shared" si="0"/>
        <v>16708150877</v>
      </c>
      <c r="H15" s="6">
        <v>1171</v>
      </c>
      <c r="I15" s="6">
        <v>0</v>
      </c>
      <c r="J15" s="7">
        <f t="shared" si="1"/>
        <v>1171</v>
      </c>
      <c r="K15" s="7">
        <f t="shared" si="2"/>
        <v>351.3</v>
      </c>
      <c r="L15" s="7">
        <f t="shared" si="3"/>
        <v>1</v>
      </c>
      <c r="M15" s="7">
        <f>IFERROR(VLOOKUP(G15,'Base de faturamento'!A:C,2,FALSE),0)</f>
        <v>1171</v>
      </c>
      <c r="N15" s="8">
        <f>IFERROR(VLOOKUP(G15,'Base de faturamento'!A:C,3,FALSE),0)</f>
        <v>44724</v>
      </c>
      <c r="O15" s="8">
        <f t="shared" si="4"/>
        <v>44743</v>
      </c>
      <c r="P15" s="8">
        <f t="shared" si="5"/>
        <v>44743</v>
      </c>
    </row>
    <row r="16" spans="1:16" ht="15.75" customHeight="1" x14ac:dyDescent="0.25">
      <c r="A16" s="2" t="s">
        <v>42</v>
      </c>
      <c r="B16" s="2" t="s">
        <v>27</v>
      </c>
      <c r="C16" s="3" t="str">
        <f>VLOOKUP(B16,Dados!$A$3:$B$10,2,FALSE)</f>
        <v>Time 2</v>
      </c>
      <c r="D16" s="2" t="s">
        <v>18</v>
      </c>
      <c r="E16" s="2" t="s">
        <v>25</v>
      </c>
      <c r="F16" s="4">
        <v>16749652338</v>
      </c>
      <c r="G16" s="5" t="str">
        <f t="shared" si="0"/>
        <v>16749652338</v>
      </c>
      <c r="H16" s="6">
        <v>5788</v>
      </c>
      <c r="I16" s="6">
        <v>4281</v>
      </c>
      <c r="J16" s="7">
        <f t="shared" si="1"/>
        <v>1507</v>
      </c>
      <c r="K16" s="7">
        <f t="shared" si="2"/>
        <v>301.40000000000003</v>
      </c>
      <c r="L16" s="7">
        <f t="shared" si="3"/>
        <v>1</v>
      </c>
      <c r="M16" s="7">
        <f>IFERROR(VLOOKUP(G16,'Base de faturamento'!A:C,2,FALSE),0)</f>
        <v>5788</v>
      </c>
      <c r="N16" s="8">
        <f>IFERROR(VLOOKUP(G16,'Base de faturamento'!A:C,3,FALSE),0)</f>
        <v>44733</v>
      </c>
      <c r="O16" s="8">
        <f t="shared" si="4"/>
        <v>44743</v>
      </c>
      <c r="P16" s="8">
        <f t="shared" si="5"/>
        <v>44743</v>
      </c>
    </row>
    <row r="17" spans="1:16" ht="15.75" customHeight="1" x14ac:dyDescent="0.25">
      <c r="A17" s="2" t="s">
        <v>43</v>
      </c>
      <c r="B17" s="2" t="s">
        <v>29</v>
      </c>
      <c r="C17" s="3" t="str">
        <f>VLOOKUP(B17,Dados!$A$3:$B$10,2,FALSE)</f>
        <v>Time 2</v>
      </c>
      <c r="D17" s="2" t="s">
        <v>18</v>
      </c>
      <c r="E17" s="2" t="s">
        <v>19</v>
      </c>
      <c r="F17" s="4">
        <v>16803870511</v>
      </c>
      <c r="G17" s="5" t="str">
        <f t="shared" si="0"/>
        <v>16803870511</v>
      </c>
      <c r="H17" s="6">
        <v>7336</v>
      </c>
      <c r="I17" s="6">
        <v>0</v>
      </c>
      <c r="J17" s="7">
        <f t="shared" si="1"/>
        <v>7336</v>
      </c>
      <c r="K17" s="7">
        <f t="shared" si="2"/>
        <v>1467.2</v>
      </c>
      <c r="L17" s="7">
        <f t="shared" si="3"/>
        <v>1</v>
      </c>
      <c r="M17" s="7">
        <f>IFERROR(VLOOKUP(G17,'Base de faturamento'!A:C,2,FALSE),0)</f>
        <v>7336</v>
      </c>
      <c r="N17" s="8">
        <f>IFERROR(VLOOKUP(G17,'Base de faturamento'!A:C,3,FALSE),0)</f>
        <v>44635</v>
      </c>
      <c r="O17" s="8">
        <f t="shared" si="4"/>
        <v>44652</v>
      </c>
      <c r="P17" s="8">
        <f t="shared" si="5"/>
        <v>44652</v>
      </c>
    </row>
    <row r="18" spans="1:16" ht="15.75" customHeight="1" x14ac:dyDescent="0.25">
      <c r="A18" s="2" t="s">
        <v>44</v>
      </c>
      <c r="B18" s="2" t="s">
        <v>36</v>
      </c>
      <c r="C18" s="3" t="str">
        <f>VLOOKUP(B18,Dados!$A$3:$B$10,2,FALSE)</f>
        <v>Time 1</v>
      </c>
      <c r="D18" s="2" t="s">
        <v>18</v>
      </c>
      <c r="E18" s="2" t="s">
        <v>19</v>
      </c>
      <c r="F18" s="4">
        <v>17056663697</v>
      </c>
      <c r="G18" s="5" t="str">
        <f t="shared" si="0"/>
        <v>17056663697</v>
      </c>
      <c r="H18" s="6">
        <v>6544</v>
      </c>
      <c r="I18" s="6">
        <v>0</v>
      </c>
      <c r="J18" s="7">
        <f t="shared" si="1"/>
        <v>6544</v>
      </c>
      <c r="K18" s="7">
        <f t="shared" si="2"/>
        <v>1308.8000000000002</v>
      </c>
      <c r="L18" s="7">
        <f t="shared" si="3"/>
        <v>1</v>
      </c>
      <c r="M18" s="7">
        <f>IFERROR(VLOOKUP(G18,'Base de faturamento'!A:C,2,FALSE),0)</f>
        <v>6544</v>
      </c>
      <c r="N18" s="8">
        <f>IFERROR(VLOOKUP(G18,'Base de faturamento'!A:C,3,FALSE),0)</f>
        <v>44726</v>
      </c>
      <c r="O18" s="8">
        <f t="shared" si="4"/>
        <v>44727</v>
      </c>
      <c r="P18" s="8">
        <f t="shared" si="5"/>
        <v>44743</v>
      </c>
    </row>
    <row r="19" spans="1:16" ht="15.75" customHeight="1" x14ac:dyDescent="0.25">
      <c r="A19" s="2" t="s">
        <v>45</v>
      </c>
      <c r="B19" s="2" t="s">
        <v>24</v>
      </c>
      <c r="C19" s="3" t="str">
        <f>VLOOKUP(B19,Dados!$A$3:$B$10,2,FALSE)</f>
        <v>Time 2</v>
      </c>
      <c r="D19" s="2" t="s">
        <v>18</v>
      </c>
      <c r="E19" s="2" t="s">
        <v>19</v>
      </c>
      <c r="F19" s="4">
        <v>17730108966</v>
      </c>
      <c r="G19" s="5" t="str">
        <f t="shared" si="0"/>
        <v>17730108966</v>
      </c>
      <c r="H19" s="6">
        <v>7191</v>
      </c>
      <c r="I19" s="6">
        <v>0</v>
      </c>
      <c r="J19" s="7">
        <f t="shared" si="1"/>
        <v>7191</v>
      </c>
      <c r="K19" s="7">
        <f t="shared" si="2"/>
        <v>1438.2</v>
      </c>
      <c r="L19" s="7">
        <f t="shared" si="3"/>
        <v>1</v>
      </c>
      <c r="M19" s="7">
        <f>IFERROR(VLOOKUP(G19,'Base de faturamento'!A:C,2,FALSE),0)</f>
        <v>7191</v>
      </c>
      <c r="N19" s="8">
        <f>IFERROR(VLOOKUP(G19,'Base de faturamento'!A:C,3,FALSE),0)</f>
        <v>44660</v>
      </c>
      <c r="O19" s="8">
        <f t="shared" si="4"/>
        <v>44682</v>
      </c>
      <c r="P19" s="8">
        <f t="shared" si="5"/>
        <v>44682</v>
      </c>
    </row>
    <row r="20" spans="1:16" ht="15.75" customHeight="1" x14ac:dyDescent="0.25">
      <c r="A20" s="2" t="s">
        <v>46</v>
      </c>
      <c r="B20" s="2" t="s">
        <v>29</v>
      </c>
      <c r="C20" s="3" t="str">
        <f>VLOOKUP(B20,Dados!$A$3:$B$10,2,FALSE)</f>
        <v>Time 2</v>
      </c>
      <c r="D20" s="2" t="s">
        <v>22</v>
      </c>
      <c r="E20" s="2" t="s">
        <v>19</v>
      </c>
      <c r="F20" s="4">
        <v>17980400608</v>
      </c>
      <c r="G20" s="5" t="str">
        <f t="shared" si="0"/>
        <v>17980400608</v>
      </c>
      <c r="H20" s="6">
        <v>7690</v>
      </c>
      <c r="I20" s="6">
        <v>0</v>
      </c>
      <c r="J20" s="7">
        <f t="shared" si="1"/>
        <v>7690</v>
      </c>
      <c r="K20" s="7">
        <f t="shared" si="2"/>
        <v>2307</v>
      </c>
      <c r="L20" s="7">
        <f t="shared" si="3"/>
        <v>1</v>
      </c>
      <c r="M20" s="7">
        <f>IFERROR(VLOOKUP(G20,'Base de faturamento'!A:C,2,FALSE),0)</f>
        <v>7690</v>
      </c>
      <c r="N20" s="8">
        <f>IFERROR(VLOOKUP(G20,'Base de faturamento'!A:C,3,FALSE),0)</f>
        <v>44630</v>
      </c>
      <c r="O20" s="8">
        <f t="shared" si="4"/>
        <v>44652</v>
      </c>
      <c r="P20" s="8">
        <f t="shared" si="5"/>
        <v>44652</v>
      </c>
    </row>
    <row r="21" spans="1:16" ht="15.75" customHeight="1" x14ac:dyDescent="0.25">
      <c r="A21" s="2" t="s">
        <v>47</v>
      </c>
      <c r="B21" s="2" t="s">
        <v>17</v>
      </c>
      <c r="C21" s="3" t="str">
        <f>VLOOKUP(B21,Dados!$A$3:$B$10,2,FALSE)</f>
        <v>Time 3</v>
      </c>
      <c r="D21" s="2" t="s">
        <v>18</v>
      </c>
      <c r="E21" s="2" t="s">
        <v>19</v>
      </c>
      <c r="F21" s="4">
        <v>18068604357</v>
      </c>
      <c r="G21" s="5" t="str">
        <f t="shared" si="0"/>
        <v>18068604357</v>
      </c>
      <c r="H21" s="6">
        <v>5428</v>
      </c>
      <c r="I21" s="6">
        <v>0</v>
      </c>
      <c r="J21" s="7">
        <f t="shared" si="1"/>
        <v>5428</v>
      </c>
      <c r="K21" s="7">
        <f t="shared" si="2"/>
        <v>1085.6000000000001</v>
      </c>
      <c r="L21" s="7">
        <f t="shared" si="3"/>
        <v>1</v>
      </c>
      <c r="M21" s="7">
        <f>IFERROR(VLOOKUP(G21,'Base de faturamento'!A:C,2,FALSE),0)</f>
        <v>5428</v>
      </c>
      <c r="N21" s="8">
        <f>IFERROR(VLOOKUP(G21,'Base de faturamento'!A:C,3,FALSE),0)</f>
        <v>44739</v>
      </c>
      <c r="O21" s="8">
        <f t="shared" si="4"/>
        <v>44743</v>
      </c>
      <c r="P21" s="8">
        <f t="shared" si="5"/>
        <v>44743</v>
      </c>
    </row>
    <row r="22" spans="1:16" ht="15.75" customHeight="1" x14ac:dyDescent="0.25">
      <c r="A22" s="2" t="s">
        <v>48</v>
      </c>
      <c r="B22" s="2" t="s">
        <v>31</v>
      </c>
      <c r="C22" s="3" t="str">
        <f>VLOOKUP(B22,Dados!$A$3:$B$10,2,FALSE)</f>
        <v>Time 3</v>
      </c>
      <c r="D22" s="2" t="s">
        <v>22</v>
      </c>
      <c r="E22" s="2" t="s">
        <v>25</v>
      </c>
      <c r="F22" s="4">
        <v>18175071887</v>
      </c>
      <c r="G22" s="5" t="str">
        <f t="shared" si="0"/>
        <v>18175071887</v>
      </c>
      <c r="H22" s="6">
        <v>8410</v>
      </c>
      <c r="I22" s="6">
        <v>6035</v>
      </c>
      <c r="J22" s="7">
        <f t="shared" si="1"/>
        <v>2375</v>
      </c>
      <c r="K22" s="7">
        <f t="shared" si="2"/>
        <v>712.5</v>
      </c>
      <c r="L22" s="7">
        <f t="shared" si="3"/>
        <v>1</v>
      </c>
      <c r="M22" s="7">
        <f>IFERROR(VLOOKUP(G22,'Base de faturamento'!A:C,2,FALSE),0)</f>
        <v>8410</v>
      </c>
      <c r="N22" s="8">
        <f>IFERROR(VLOOKUP(G22,'Base de faturamento'!A:C,3,FALSE),0)</f>
        <v>44642</v>
      </c>
      <c r="O22" s="8">
        <f t="shared" si="4"/>
        <v>44652</v>
      </c>
      <c r="P22" s="8">
        <f t="shared" si="5"/>
        <v>44652</v>
      </c>
    </row>
    <row r="23" spans="1:16" ht="15.75" customHeight="1" x14ac:dyDescent="0.25">
      <c r="A23" s="2" t="s">
        <v>49</v>
      </c>
      <c r="B23" s="2" t="s">
        <v>27</v>
      </c>
      <c r="C23" s="3" t="str">
        <f>VLOOKUP(B23,Dados!$A$3:$B$10,2,FALSE)</f>
        <v>Time 2</v>
      </c>
      <c r="D23" s="2" t="s">
        <v>22</v>
      </c>
      <c r="E23" s="2" t="s">
        <v>19</v>
      </c>
      <c r="F23" s="4">
        <v>18268979430</v>
      </c>
      <c r="G23" s="5" t="str">
        <f t="shared" si="0"/>
        <v>18268979430</v>
      </c>
      <c r="H23" s="6">
        <v>8616</v>
      </c>
      <c r="I23" s="6">
        <v>0</v>
      </c>
      <c r="J23" s="7">
        <f t="shared" si="1"/>
        <v>8616</v>
      </c>
      <c r="K23" s="7">
        <f t="shared" si="2"/>
        <v>2584.7999999999997</v>
      </c>
      <c r="L23" s="7">
        <f t="shared" si="3"/>
        <v>1</v>
      </c>
      <c r="M23" s="7">
        <f>IFERROR(VLOOKUP(G23,'Base de faturamento'!A:C,2,FALSE),0)</f>
        <v>8616</v>
      </c>
      <c r="N23" s="8">
        <f>IFERROR(VLOOKUP(G23,'Base de faturamento'!A:C,3,FALSE),0)</f>
        <v>44675</v>
      </c>
      <c r="O23" s="8">
        <f t="shared" si="4"/>
        <v>44682</v>
      </c>
      <c r="P23" s="8">
        <f t="shared" si="5"/>
        <v>44682</v>
      </c>
    </row>
    <row r="24" spans="1:16" ht="15.75" customHeight="1" x14ac:dyDescent="0.25">
      <c r="A24" s="2" t="s">
        <v>50</v>
      </c>
      <c r="B24" s="2" t="s">
        <v>29</v>
      </c>
      <c r="C24" s="3" t="str">
        <f>VLOOKUP(B24,Dados!$A$3:$B$10,2,FALSE)</f>
        <v>Time 2</v>
      </c>
      <c r="D24" s="2" t="s">
        <v>22</v>
      </c>
      <c r="E24" s="2" t="s">
        <v>19</v>
      </c>
      <c r="F24" s="4">
        <v>18329907615</v>
      </c>
      <c r="G24" s="5" t="str">
        <f t="shared" si="0"/>
        <v>18329907615</v>
      </c>
      <c r="H24" s="6">
        <v>3544</v>
      </c>
      <c r="I24" s="6">
        <v>0</v>
      </c>
      <c r="J24" s="7">
        <f t="shared" si="1"/>
        <v>3544</v>
      </c>
      <c r="K24" s="7">
        <f t="shared" si="2"/>
        <v>1063.2</v>
      </c>
      <c r="L24" s="7">
        <f t="shared" si="3"/>
        <v>1</v>
      </c>
      <c r="M24" s="7">
        <f>IFERROR(VLOOKUP(G24,'Base de faturamento'!A:C,2,FALSE),0)</f>
        <v>3544</v>
      </c>
      <c r="N24" s="8">
        <f>IFERROR(VLOOKUP(G24,'Base de faturamento'!A:C,3,FALSE),0)</f>
        <v>44697</v>
      </c>
      <c r="O24" s="8">
        <f t="shared" si="4"/>
        <v>44713</v>
      </c>
      <c r="P24" s="8">
        <f t="shared" si="5"/>
        <v>44713</v>
      </c>
    </row>
    <row r="25" spans="1:16" ht="15.75" customHeight="1" x14ac:dyDescent="0.25">
      <c r="A25" s="2" t="s">
        <v>51</v>
      </c>
      <c r="B25" s="2" t="s">
        <v>21</v>
      </c>
      <c r="C25" s="3" t="str">
        <f>VLOOKUP(B25,Dados!$A$3:$B$10,2,FALSE)</f>
        <v>Time 1</v>
      </c>
      <c r="D25" s="2" t="s">
        <v>22</v>
      </c>
      <c r="E25" s="2" t="s">
        <v>19</v>
      </c>
      <c r="F25" s="4">
        <v>18475395928</v>
      </c>
      <c r="G25" s="5" t="str">
        <f t="shared" si="0"/>
        <v>18475395928</v>
      </c>
      <c r="H25" s="6">
        <v>8687</v>
      </c>
      <c r="I25" s="6">
        <v>0</v>
      </c>
      <c r="J25" s="7">
        <f t="shared" si="1"/>
        <v>8687</v>
      </c>
      <c r="K25" s="7">
        <f t="shared" si="2"/>
        <v>2606.1</v>
      </c>
      <c r="L25" s="7">
        <f t="shared" si="3"/>
        <v>1</v>
      </c>
      <c r="M25" s="7">
        <f>IFERROR(VLOOKUP(G25,'Base de faturamento'!A:C,2,FALSE),0)</f>
        <v>8687</v>
      </c>
      <c r="N25" s="8">
        <f>IFERROR(VLOOKUP(G25,'Base de faturamento'!A:C,3,FALSE),0)</f>
        <v>44638</v>
      </c>
      <c r="O25" s="8">
        <f t="shared" si="4"/>
        <v>44635</v>
      </c>
      <c r="P25" s="8">
        <f t="shared" si="5"/>
        <v>44652</v>
      </c>
    </row>
    <row r="26" spans="1:16" ht="15.75" customHeight="1" x14ac:dyDescent="0.25">
      <c r="A26" s="2" t="s">
        <v>52</v>
      </c>
      <c r="B26" s="2" t="s">
        <v>29</v>
      </c>
      <c r="C26" s="3" t="str">
        <f>VLOOKUP(B26,Dados!$A$3:$B$10,2,FALSE)</f>
        <v>Time 2</v>
      </c>
      <c r="D26" s="2" t="s">
        <v>18</v>
      </c>
      <c r="E26" s="2" t="s">
        <v>19</v>
      </c>
      <c r="F26" s="4">
        <v>19586493079</v>
      </c>
      <c r="G26" s="5" t="str">
        <f t="shared" si="0"/>
        <v>19586493079</v>
      </c>
      <c r="H26" s="6">
        <v>4384</v>
      </c>
      <c r="I26" s="6">
        <v>0</v>
      </c>
      <c r="J26" s="7">
        <f t="shared" si="1"/>
        <v>4384</v>
      </c>
      <c r="K26" s="7">
        <f t="shared" si="2"/>
        <v>876.80000000000007</v>
      </c>
      <c r="L26" s="7">
        <f t="shared" si="3"/>
        <v>1</v>
      </c>
      <c r="M26" s="7">
        <f>IFERROR(VLOOKUP(G26,'Base de faturamento'!A:C,2,FALSE),0)</f>
        <v>4384</v>
      </c>
      <c r="N26" s="8">
        <f>IFERROR(VLOOKUP(G26,'Base de faturamento'!A:C,3,FALSE),0)</f>
        <v>44665</v>
      </c>
      <c r="O26" s="8">
        <f t="shared" si="4"/>
        <v>44682</v>
      </c>
      <c r="P26" s="8">
        <f t="shared" si="5"/>
        <v>44682</v>
      </c>
    </row>
    <row r="27" spans="1:16" ht="15.75" customHeight="1" x14ac:dyDescent="0.25">
      <c r="A27" s="2" t="s">
        <v>53</v>
      </c>
      <c r="B27" s="2" t="s">
        <v>17</v>
      </c>
      <c r="C27" s="3" t="str">
        <f>VLOOKUP(B27,Dados!$A$3:$B$10,2,FALSE)</f>
        <v>Time 3</v>
      </c>
      <c r="D27" s="2" t="s">
        <v>22</v>
      </c>
      <c r="E27" s="2" t="s">
        <v>25</v>
      </c>
      <c r="F27" s="4">
        <v>20244484886</v>
      </c>
      <c r="G27" s="5" t="str">
        <f t="shared" si="0"/>
        <v>20244484886</v>
      </c>
      <c r="H27" s="6">
        <v>6177</v>
      </c>
      <c r="I27" s="6">
        <v>8593</v>
      </c>
      <c r="J27" s="7">
        <f t="shared" si="1"/>
        <v>0</v>
      </c>
      <c r="K27" s="7">
        <f t="shared" si="2"/>
        <v>0</v>
      </c>
      <c r="L27" s="7">
        <f t="shared" si="3"/>
        <v>0</v>
      </c>
      <c r="M27" s="7">
        <f>IFERROR(VLOOKUP(G27,'Base de faturamento'!A:C,2,FALSE),0)</f>
        <v>0</v>
      </c>
      <c r="N27" s="8">
        <f>IFERROR(VLOOKUP(G27,'Base de faturamento'!A:C,3,FALSE),0)</f>
        <v>0</v>
      </c>
      <c r="O27" s="8">
        <f t="shared" si="4"/>
        <v>32</v>
      </c>
      <c r="P27" s="9" t="b">
        <f t="shared" si="5"/>
        <v>0</v>
      </c>
    </row>
    <row r="28" spans="1:16" ht="15.75" customHeight="1" x14ac:dyDescent="0.25">
      <c r="A28" s="2" t="s">
        <v>54</v>
      </c>
      <c r="B28" s="2" t="s">
        <v>31</v>
      </c>
      <c r="C28" s="3" t="str">
        <f>VLOOKUP(B28,Dados!$A$3:$B$10,2,FALSE)</f>
        <v>Time 3</v>
      </c>
      <c r="D28" s="2" t="s">
        <v>22</v>
      </c>
      <c r="E28" s="2" t="s">
        <v>25</v>
      </c>
      <c r="F28" s="4">
        <v>20503026585</v>
      </c>
      <c r="G28" s="5" t="str">
        <f t="shared" si="0"/>
        <v>20503026585</v>
      </c>
      <c r="H28" s="6">
        <v>5574</v>
      </c>
      <c r="I28" s="6">
        <v>9950</v>
      </c>
      <c r="J28" s="7">
        <f t="shared" si="1"/>
        <v>0</v>
      </c>
      <c r="K28" s="7">
        <f t="shared" si="2"/>
        <v>0</v>
      </c>
      <c r="L28" s="7">
        <f t="shared" si="3"/>
        <v>1</v>
      </c>
      <c r="M28" s="7">
        <f>IFERROR(VLOOKUP(G28,'Base de faturamento'!A:C,2,FALSE),0)</f>
        <v>5574</v>
      </c>
      <c r="N28" s="8">
        <f>IFERROR(VLOOKUP(G28,'Base de faturamento'!A:C,3,FALSE),0)</f>
        <v>44680</v>
      </c>
      <c r="O28" s="8">
        <f t="shared" si="4"/>
        <v>44682</v>
      </c>
      <c r="P28" s="8">
        <f t="shared" si="5"/>
        <v>44682</v>
      </c>
    </row>
    <row r="29" spans="1:16" ht="15.75" customHeight="1" x14ac:dyDescent="0.25">
      <c r="A29" s="2" t="s">
        <v>55</v>
      </c>
      <c r="B29" s="2" t="s">
        <v>29</v>
      </c>
      <c r="C29" s="3" t="str">
        <f>VLOOKUP(B29,Dados!$A$3:$B$10,2,FALSE)</f>
        <v>Time 2</v>
      </c>
      <c r="D29" s="2" t="s">
        <v>22</v>
      </c>
      <c r="E29" s="2" t="s">
        <v>25</v>
      </c>
      <c r="F29" s="4">
        <v>20524415427</v>
      </c>
      <c r="G29" s="5" t="str">
        <f t="shared" si="0"/>
        <v>20524415427</v>
      </c>
      <c r="H29" s="6">
        <v>4582</v>
      </c>
      <c r="I29" s="6">
        <v>5244</v>
      </c>
      <c r="J29" s="7">
        <f t="shared" si="1"/>
        <v>0</v>
      </c>
      <c r="K29" s="7">
        <f t="shared" si="2"/>
        <v>0</v>
      </c>
      <c r="L29" s="7">
        <f t="shared" si="3"/>
        <v>1</v>
      </c>
      <c r="M29" s="7">
        <f>IFERROR(VLOOKUP(G29,'Base de faturamento'!A:C,2,FALSE),0)</f>
        <v>4582</v>
      </c>
      <c r="N29" s="8">
        <f>IFERROR(VLOOKUP(G29,'Base de faturamento'!A:C,3,FALSE),0)</f>
        <v>44690</v>
      </c>
      <c r="O29" s="8">
        <f t="shared" si="4"/>
        <v>44713</v>
      </c>
      <c r="P29" s="8">
        <f t="shared" si="5"/>
        <v>44713</v>
      </c>
    </row>
    <row r="30" spans="1:16" ht="15.75" customHeight="1" x14ac:dyDescent="0.25">
      <c r="A30" s="2" t="s">
        <v>56</v>
      </c>
      <c r="B30" s="2" t="s">
        <v>33</v>
      </c>
      <c r="C30" s="3" t="str">
        <f>VLOOKUP(B30,Dados!$A$3:$B$10,2,FALSE)</f>
        <v>Time 1</v>
      </c>
      <c r="D30" s="2" t="s">
        <v>22</v>
      </c>
      <c r="E30" s="2" t="s">
        <v>25</v>
      </c>
      <c r="F30" s="4">
        <v>20723972248</v>
      </c>
      <c r="G30" s="5" t="str">
        <f t="shared" si="0"/>
        <v>20723972248</v>
      </c>
      <c r="H30" s="6">
        <v>1459</v>
      </c>
      <c r="I30" s="6">
        <v>6716</v>
      </c>
      <c r="J30" s="7">
        <f t="shared" si="1"/>
        <v>0</v>
      </c>
      <c r="K30" s="7">
        <f t="shared" si="2"/>
        <v>0</v>
      </c>
      <c r="L30" s="7">
        <f t="shared" si="3"/>
        <v>1</v>
      </c>
      <c r="M30" s="7">
        <f>IFERROR(VLOOKUP(G30,'Base de faturamento'!A:C,2,FALSE),0)</f>
        <v>1459</v>
      </c>
      <c r="N30" s="8">
        <f>IFERROR(VLOOKUP(G30,'Base de faturamento'!A:C,3,FALSE),0)</f>
        <v>44686</v>
      </c>
      <c r="O30" s="8">
        <f t="shared" si="4"/>
        <v>44696</v>
      </c>
      <c r="P30" s="8">
        <f t="shared" si="5"/>
        <v>44713</v>
      </c>
    </row>
    <row r="31" spans="1:16" ht="15.75" customHeight="1" x14ac:dyDescent="0.25">
      <c r="A31" s="2" t="s">
        <v>57</v>
      </c>
      <c r="B31" s="2" t="s">
        <v>29</v>
      </c>
      <c r="C31" s="3" t="str">
        <f>VLOOKUP(B31,Dados!$A$3:$B$10,2,FALSE)</f>
        <v>Time 2</v>
      </c>
      <c r="D31" s="2" t="s">
        <v>22</v>
      </c>
      <c r="E31" s="2" t="s">
        <v>25</v>
      </c>
      <c r="F31" s="4">
        <v>20917135664</v>
      </c>
      <c r="G31" s="5" t="str">
        <f t="shared" si="0"/>
        <v>20917135664</v>
      </c>
      <c r="H31" s="6">
        <v>4532</v>
      </c>
      <c r="I31" s="6">
        <v>9953</v>
      </c>
      <c r="J31" s="7">
        <f t="shared" si="1"/>
        <v>0</v>
      </c>
      <c r="K31" s="7">
        <f t="shared" si="2"/>
        <v>0</v>
      </c>
      <c r="L31" s="7">
        <f t="shared" si="3"/>
        <v>1</v>
      </c>
      <c r="M31" s="7">
        <f>IFERROR(VLOOKUP(G31,'Base de faturamento'!A:C,2,FALSE),0)</f>
        <v>4532</v>
      </c>
      <c r="N31" s="8">
        <f>IFERROR(VLOOKUP(G31,'Base de faturamento'!A:C,3,FALSE),0)</f>
        <v>44704</v>
      </c>
      <c r="O31" s="8">
        <f t="shared" si="4"/>
        <v>44713</v>
      </c>
      <c r="P31" s="8">
        <f t="shared" si="5"/>
        <v>44713</v>
      </c>
    </row>
    <row r="32" spans="1:16" ht="15.75" customHeight="1" x14ac:dyDescent="0.25">
      <c r="A32" s="2" t="s">
        <v>58</v>
      </c>
      <c r="B32" s="2" t="s">
        <v>33</v>
      </c>
      <c r="C32" s="3" t="str">
        <f>VLOOKUP(B32,Dados!$A$3:$B$10,2,FALSE)</f>
        <v>Time 1</v>
      </c>
      <c r="D32" s="2" t="s">
        <v>22</v>
      </c>
      <c r="E32" s="2" t="s">
        <v>25</v>
      </c>
      <c r="F32" s="4">
        <v>20964726373</v>
      </c>
      <c r="G32" s="5" t="str">
        <f t="shared" si="0"/>
        <v>20964726373</v>
      </c>
      <c r="H32" s="6">
        <v>2112</v>
      </c>
      <c r="I32" s="6">
        <v>4324</v>
      </c>
      <c r="J32" s="7">
        <f t="shared" si="1"/>
        <v>0</v>
      </c>
      <c r="K32" s="7">
        <f t="shared" si="2"/>
        <v>0</v>
      </c>
      <c r="L32" s="7">
        <f t="shared" si="3"/>
        <v>1</v>
      </c>
      <c r="M32" s="7">
        <f>IFERROR(VLOOKUP(G32,'Base de faturamento'!A:C,2,FALSE),0)</f>
        <v>2112</v>
      </c>
      <c r="N32" s="8">
        <f>IFERROR(VLOOKUP(G32,'Base de faturamento'!A:C,3,FALSE),0)</f>
        <v>44720</v>
      </c>
      <c r="O32" s="8">
        <f t="shared" si="4"/>
        <v>44727</v>
      </c>
      <c r="P32" s="8">
        <f t="shared" si="5"/>
        <v>44743</v>
      </c>
    </row>
    <row r="33" spans="1:16" ht="15.75" customHeight="1" x14ac:dyDescent="0.25">
      <c r="A33" s="2" t="s">
        <v>59</v>
      </c>
      <c r="B33" s="2" t="s">
        <v>31</v>
      </c>
      <c r="C33" s="3" t="str">
        <f>VLOOKUP(B33,Dados!$A$3:$B$10,2,FALSE)</f>
        <v>Time 3</v>
      </c>
      <c r="D33" s="2" t="s">
        <v>22</v>
      </c>
      <c r="E33" s="2" t="s">
        <v>25</v>
      </c>
      <c r="F33" s="4">
        <v>21381752319</v>
      </c>
      <c r="G33" s="5" t="str">
        <f t="shared" si="0"/>
        <v>21381752319</v>
      </c>
      <c r="H33" s="6">
        <v>7887</v>
      </c>
      <c r="I33" s="6">
        <v>5276</v>
      </c>
      <c r="J33" s="7">
        <f t="shared" si="1"/>
        <v>2611</v>
      </c>
      <c r="K33" s="7">
        <f t="shared" si="2"/>
        <v>783.3</v>
      </c>
      <c r="L33" s="7">
        <f t="shared" si="3"/>
        <v>1</v>
      </c>
      <c r="M33" s="7">
        <f>IFERROR(VLOOKUP(G33,'Base de faturamento'!A:C,2,FALSE),0)</f>
        <v>7887</v>
      </c>
      <c r="N33" s="8">
        <f>IFERROR(VLOOKUP(G33,'Base de faturamento'!A:C,3,FALSE),0)</f>
        <v>44656</v>
      </c>
      <c r="O33" s="8">
        <f t="shared" si="4"/>
        <v>44682</v>
      </c>
      <c r="P33" s="8">
        <f t="shared" si="5"/>
        <v>44682</v>
      </c>
    </row>
    <row r="34" spans="1:16" ht="15.75" customHeight="1" x14ac:dyDescent="0.25">
      <c r="A34" s="2" t="s">
        <v>60</v>
      </c>
      <c r="B34" s="2" t="s">
        <v>27</v>
      </c>
      <c r="C34" s="3" t="str">
        <f>VLOOKUP(B34,Dados!$A$3:$B$10,2,FALSE)</f>
        <v>Time 2</v>
      </c>
      <c r="D34" s="2" t="s">
        <v>22</v>
      </c>
      <c r="E34" s="2" t="s">
        <v>19</v>
      </c>
      <c r="F34" s="4">
        <v>21545344262</v>
      </c>
      <c r="G34" s="5" t="str">
        <f t="shared" si="0"/>
        <v>21545344262</v>
      </c>
      <c r="H34" s="6">
        <v>5185</v>
      </c>
      <c r="I34" s="6">
        <v>0</v>
      </c>
      <c r="J34" s="7">
        <f t="shared" si="1"/>
        <v>5185</v>
      </c>
      <c r="K34" s="7">
        <f t="shared" si="2"/>
        <v>1555.5</v>
      </c>
      <c r="L34" s="7">
        <f t="shared" si="3"/>
        <v>1</v>
      </c>
      <c r="M34" s="7">
        <f>IFERROR(VLOOKUP(G34,'Base de faturamento'!A:C,2,FALSE),0)</f>
        <v>5185</v>
      </c>
      <c r="N34" s="8">
        <f>IFERROR(VLOOKUP(G34,'Base de faturamento'!A:C,3,FALSE),0)</f>
        <v>44708</v>
      </c>
      <c r="O34" s="8">
        <f t="shared" si="4"/>
        <v>44713</v>
      </c>
      <c r="P34" s="8">
        <f t="shared" si="5"/>
        <v>44713</v>
      </c>
    </row>
    <row r="35" spans="1:16" ht="15.75" customHeight="1" x14ac:dyDescent="0.25">
      <c r="A35" s="2" t="s">
        <v>61</v>
      </c>
      <c r="B35" s="2" t="s">
        <v>31</v>
      </c>
      <c r="C35" s="3" t="str">
        <f>VLOOKUP(B35,Dados!$A$3:$B$10,2,FALSE)</f>
        <v>Time 3</v>
      </c>
      <c r="D35" s="2" t="s">
        <v>22</v>
      </c>
      <c r="E35" s="2" t="s">
        <v>19</v>
      </c>
      <c r="F35" s="4">
        <v>21622801375</v>
      </c>
      <c r="G35" s="5" t="str">
        <f t="shared" si="0"/>
        <v>21622801375</v>
      </c>
      <c r="H35" s="6">
        <v>9744</v>
      </c>
      <c r="I35" s="6">
        <v>0</v>
      </c>
      <c r="J35" s="7">
        <f t="shared" si="1"/>
        <v>9744</v>
      </c>
      <c r="K35" s="7">
        <f t="shared" si="2"/>
        <v>2923.2</v>
      </c>
      <c r="L35" s="7">
        <f t="shared" si="3"/>
        <v>1</v>
      </c>
      <c r="M35" s="7">
        <f>IFERROR(VLOOKUP(G35,'Base de faturamento'!A:C,2,FALSE),0)</f>
        <v>9744</v>
      </c>
      <c r="N35" s="8">
        <f>IFERROR(VLOOKUP(G35,'Base de faturamento'!A:C,3,FALSE),0)</f>
        <v>44710</v>
      </c>
      <c r="O35" s="8">
        <f t="shared" si="4"/>
        <v>44713</v>
      </c>
      <c r="P35" s="8">
        <f t="shared" si="5"/>
        <v>44713</v>
      </c>
    </row>
    <row r="36" spans="1:16" ht="15.75" customHeight="1" x14ac:dyDescent="0.25">
      <c r="A36" s="2" t="s">
        <v>62</v>
      </c>
      <c r="B36" s="2" t="s">
        <v>17</v>
      </c>
      <c r="C36" s="3" t="str">
        <f>VLOOKUP(B36,Dados!$A$3:$B$10,2,FALSE)</f>
        <v>Time 3</v>
      </c>
      <c r="D36" s="2" t="s">
        <v>22</v>
      </c>
      <c r="E36" s="2" t="s">
        <v>25</v>
      </c>
      <c r="F36" s="4">
        <v>21664565023</v>
      </c>
      <c r="G36" s="5" t="str">
        <f t="shared" si="0"/>
        <v>21664565023</v>
      </c>
      <c r="H36" s="6">
        <v>9708</v>
      </c>
      <c r="I36" s="6">
        <v>5959</v>
      </c>
      <c r="J36" s="7">
        <f t="shared" si="1"/>
        <v>3749</v>
      </c>
      <c r="K36" s="7">
        <f t="shared" si="2"/>
        <v>1124.7</v>
      </c>
      <c r="L36" s="7">
        <f t="shared" si="3"/>
        <v>1</v>
      </c>
      <c r="M36" s="7">
        <f>IFERROR(VLOOKUP(G36,'Base de faturamento'!A:C,2,FALSE),0)</f>
        <v>9708</v>
      </c>
      <c r="N36" s="8">
        <f>IFERROR(VLOOKUP(G36,'Base de faturamento'!A:C,3,FALSE),0)</f>
        <v>44712</v>
      </c>
      <c r="O36" s="8">
        <f t="shared" si="4"/>
        <v>44713</v>
      </c>
      <c r="P36" s="8">
        <f t="shared" si="5"/>
        <v>44713</v>
      </c>
    </row>
    <row r="37" spans="1:16" ht="15.75" customHeight="1" x14ac:dyDescent="0.25">
      <c r="A37" s="2" t="s">
        <v>63</v>
      </c>
      <c r="B37" s="2" t="s">
        <v>27</v>
      </c>
      <c r="C37" s="3" t="str">
        <f>VLOOKUP(B37,Dados!$A$3:$B$10,2,FALSE)</f>
        <v>Time 2</v>
      </c>
      <c r="D37" s="2" t="s">
        <v>22</v>
      </c>
      <c r="E37" s="2" t="s">
        <v>25</v>
      </c>
      <c r="F37" s="4">
        <v>21691467158</v>
      </c>
      <c r="G37" s="5" t="str">
        <f t="shared" si="0"/>
        <v>21691467158</v>
      </c>
      <c r="H37" s="6">
        <v>3518</v>
      </c>
      <c r="I37" s="6">
        <v>7021</v>
      </c>
      <c r="J37" s="7">
        <f t="shared" si="1"/>
        <v>0</v>
      </c>
      <c r="K37" s="7">
        <f t="shared" si="2"/>
        <v>0</v>
      </c>
      <c r="L37" s="7">
        <f t="shared" si="3"/>
        <v>1</v>
      </c>
      <c r="M37" s="7">
        <f>IFERROR(VLOOKUP(G37,'Base de faturamento'!A:C,2,FALSE),0)</f>
        <v>3518</v>
      </c>
      <c r="N37" s="8">
        <f>IFERROR(VLOOKUP(G37,'Base de faturamento'!A:C,3,FALSE),0)</f>
        <v>44711</v>
      </c>
      <c r="O37" s="8">
        <f t="shared" si="4"/>
        <v>44713</v>
      </c>
      <c r="P37" s="8">
        <f t="shared" si="5"/>
        <v>44713</v>
      </c>
    </row>
    <row r="38" spans="1:16" ht="15.75" customHeight="1" x14ac:dyDescent="0.25">
      <c r="A38" s="2" t="s">
        <v>64</v>
      </c>
      <c r="B38" s="2" t="s">
        <v>36</v>
      </c>
      <c r="C38" s="3" t="str">
        <f>VLOOKUP(B38,Dados!$A$3:$B$10,2,FALSE)</f>
        <v>Time 1</v>
      </c>
      <c r="D38" s="2" t="s">
        <v>22</v>
      </c>
      <c r="E38" s="2" t="s">
        <v>25</v>
      </c>
      <c r="F38" s="4">
        <v>21930887195</v>
      </c>
      <c r="G38" s="5" t="str">
        <f t="shared" si="0"/>
        <v>21930887195</v>
      </c>
      <c r="H38" s="6">
        <v>9517</v>
      </c>
      <c r="I38" s="6">
        <v>2229</v>
      </c>
      <c r="J38" s="7">
        <f t="shared" si="1"/>
        <v>7288</v>
      </c>
      <c r="K38" s="7">
        <f t="shared" si="2"/>
        <v>2186.4</v>
      </c>
      <c r="L38" s="7">
        <f t="shared" si="3"/>
        <v>1</v>
      </c>
      <c r="M38" s="7">
        <f>IFERROR(VLOOKUP(G38,'Base de faturamento'!A:C,2,FALSE),0)</f>
        <v>9517</v>
      </c>
      <c r="N38" s="8">
        <f>IFERROR(VLOOKUP(G38,'Base de faturamento'!A:C,3,FALSE),0)</f>
        <v>44644</v>
      </c>
      <c r="O38" s="8">
        <f t="shared" si="4"/>
        <v>44635</v>
      </c>
      <c r="P38" s="8">
        <f t="shared" si="5"/>
        <v>44652</v>
      </c>
    </row>
    <row r="39" spans="1:16" ht="15.75" customHeight="1" x14ac:dyDescent="0.25">
      <c r="A39" s="2" t="s">
        <v>65</v>
      </c>
      <c r="B39" s="2" t="s">
        <v>36</v>
      </c>
      <c r="C39" s="3" t="str">
        <f>VLOOKUP(B39,Dados!$A$3:$B$10,2,FALSE)</f>
        <v>Time 1</v>
      </c>
      <c r="D39" s="2" t="s">
        <v>22</v>
      </c>
      <c r="E39" s="2" t="s">
        <v>19</v>
      </c>
      <c r="F39" s="4">
        <v>22425896465</v>
      </c>
      <c r="G39" s="5" t="str">
        <f t="shared" si="0"/>
        <v>22425896465</v>
      </c>
      <c r="H39" s="6">
        <v>4230</v>
      </c>
      <c r="I39" s="6">
        <v>0</v>
      </c>
      <c r="J39" s="7">
        <f t="shared" si="1"/>
        <v>4230</v>
      </c>
      <c r="K39" s="7">
        <f t="shared" si="2"/>
        <v>1269</v>
      </c>
      <c r="L39" s="7">
        <f t="shared" si="3"/>
        <v>1</v>
      </c>
      <c r="M39" s="7">
        <f>IFERROR(VLOOKUP(G39,'Base de faturamento'!A:C,2,FALSE),0)</f>
        <v>4230</v>
      </c>
      <c r="N39" s="8">
        <f>IFERROR(VLOOKUP(G39,'Base de faturamento'!A:C,3,FALSE),0)</f>
        <v>44690</v>
      </c>
      <c r="O39" s="8">
        <f t="shared" si="4"/>
        <v>44696</v>
      </c>
      <c r="P39" s="8">
        <f t="shared" si="5"/>
        <v>44713</v>
      </c>
    </row>
    <row r="40" spans="1:16" ht="15.75" customHeight="1" x14ac:dyDescent="0.25">
      <c r="A40" s="2" t="s">
        <v>66</v>
      </c>
      <c r="B40" s="2" t="s">
        <v>29</v>
      </c>
      <c r="C40" s="3" t="str">
        <f>VLOOKUP(B40,Dados!$A$3:$B$10,2,FALSE)</f>
        <v>Time 2</v>
      </c>
      <c r="D40" s="2" t="s">
        <v>18</v>
      </c>
      <c r="E40" s="2" t="s">
        <v>19</v>
      </c>
      <c r="F40" s="4">
        <v>22935910618</v>
      </c>
      <c r="G40" s="5" t="str">
        <f t="shared" si="0"/>
        <v>22935910618</v>
      </c>
      <c r="H40" s="6">
        <v>4631</v>
      </c>
      <c r="I40" s="6">
        <v>0</v>
      </c>
      <c r="J40" s="7">
        <f t="shared" si="1"/>
        <v>4631</v>
      </c>
      <c r="K40" s="7">
        <f t="shared" si="2"/>
        <v>926.2</v>
      </c>
      <c r="L40" s="7">
        <f t="shared" si="3"/>
        <v>1</v>
      </c>
      <c r="M40" s="7">
        <f>IFERROR(VLOOKUP(G40,'Base de faturamento'!A:C,2,FALSE),0)</f>
        <v>4631</v>
      </c>
      <c r="N40" s="8">
        <f>IFERROR(VLOOKUP(G40,'Base de faturamento'!A:C,3,FALSE),0)</f>
        <v>44719</v>
      </c>
      <c r="O40" s="8">
        <f t="shared" si="4"/>
        <v>44743</v>
      </c>
      <c r="P40" s="8">
        <f t="shared" si="5"/>
        <v>44743</v>
      </c>
    </row>
    <row r="41" spans="1:16" ht="15.75" customHeight="1" x14ac:dyDescent="0.25">
      <c r="A41" s="2" t="s">
        <v>67</v>
      </c>
      <c r="B41" s="2" t="s">
        <v>33</v>
      </c>
      <c r="C41" s="3" t="str">
        <f>VLOOKUP(B41,Dados!$A$3:$B$10,2,FALSE)</f>
        <v>Time 1</v>
      </c>
      <c r="D41" s="2" t="s">
        <v>18</v>
      </c>
      <c r="E41" s="2" t="s">
        <v>25</v>
      </c>
      <c r="F41" s="4">
        <v>23142559648</v>
      </c>
      <c r="G41" s="5" t="str">
        <f t="shared" si="0"/>
        <v>23142559648</v>
      </c>
      <c r="H41" s="6">
        <v>5292</v>
      </c>
      <c r="I41" s="6">
        <v>5877</v>
      </c>
      <c r="J41" s="7">
        <f t="shared" si="1"/>
        <v>0</v>
      </c>
      <c r="K41" s="7">
        <f t="shared" si="2"/>
        <v>0</v>
      </c>
      <c r="L41" s="7">
        <f t="shared" si="3"/>
        <v>1</v>
      </c>
      <c r="M41" s="7">
        <f>IFERROR(VLOOKUP(G41,'Base de faturamento'!A:C,2,FALSE),0)</f>
        <v>5292</v>
      </c>
      <c r="N41" s="8">
        <f>IFERROR(VLOOKUP(G41,'Base de faturamento'!A:C,3,FALSE),0)</f>
        <v>44740</v>
      </c>
      <c r="O41" s="8">
        <f t="shared" si="4"/>
        <v>44727</v>
      </c>
      <c r="P41" s="8">
        <f t="shared" si="5"/>
        <v>44743</v>
      </c>
    </row>
    <row r="42" spans="1:16" ht="15.75" customHeight="1" x14ac:dyDescent="0.25">
      <c r="A42" s="2" t="s">
        <v>68</v>
      </c>
      <c r="B42" s="2" t="s">
        <v>21</v>
      </c>
      <c r="C42" s="3" t="str">
        <f>VLOOKUP(B42,Dados!$A$3:$B$10,2,FALSE)</f>
        <v>Time 1</v>
      </c>
      <c r="D42" s="2" t="s">
        <v>22</v>
      </c>
      <c r="E42" s="2" t="s">
        <v>19</v>
      </c>
      <c r="F42" s="4">
        <v>23315752077</v>
      </c>
      <c r="G42" s="5" t="str">
        <f t="shared" si="0"/>
        <v>23315752077</v>
      </c>
      <c r="H42" s="6">
        <v>1909</v>
      </c>
      <c r="I42" s="6">
        <v>0</v>
      </c>
      <c r="J42" s="7">
        <f t="shared" si="1"/>
        <v>1909</v>
      </c>
      <c r="K42" s="7">
        <f t="shared" si="2"/>
        <v>572.69999999999993</v>
      </c>
      <c r="L42" s="7">
        <f t="shared" si="3"/>
        <v>1</v>
      </c>
      <c r="M42" s="7">
        <f>IFERROR(VLOOKUP(G42,'Base de faturamento'!A:C,2,FALSE),0)</f>
        <v>1909</v>
      </c>
      <c r="N42" s="8">
        <f>IFERROR(VLOOKUP(G42,'Base de faturamento'!A:C,3,FALSE),0)</f>
        <v>44674</v>
      </c>
      <c r="O42" s="8">
        <f t="shared" si="4"/>
        <v>44666</v>
      </c>
      <c r="P42" s="8">
        <f t="shared" si="5"/>
        <v>44682</v>
      </c>
    </row>
    <row r="43" spans="1:16" ht="15.75" customHeight="1" x14ac:dyDescent="0.25">
      <c r="A43" s="2" t="s">
        <v>69</v>
      </c>
      <c r="B43" s="2" t="s">
        <v>27</v>
      </c>
      <c r="C43" s="3" t="str">
        <f>VLOOKUP(B43,Dados!$A$3:$B$10,2,FALSE)</f>
        <v>Time 2</v>
      </c>
      <c r="D43" s="2" t="s">
        <v>22</v>
      </c>
      <c r="E43" s="2" t="s">
        <v>19</v>
      </c>
      <c r="F43" s="4">
        <v>24235070640</v>
      </c>
      <c r="G43" s="5" t="str">
        <f t="shared" si="0"/>
        <v>24235070640</v>
      </c>
      <c r="H43" s="6">
        <v>6615</v>
      </c>
      <c r="I43" s="6">
        <v>0</v>
      </c>
      <c r="J43" s="7">
        <f t="shared" si="1"/>
        <v>6615</v>
      </c>
      <c r="K43" s="7">
        <f t="shared" si="2"/>
        <v>1984.5</v>
      </c>
      <c r="L43" s="7">
        <f t="shared" si="3"/>
        <v>1</v>
      </c>
      <c r="M43" s="7">
        <f>IFERROR(VLOOKUP(G43,'Base de faturamento'!A:C,2,FALSE),0)</f>
        <v>6615</v>
      </c>
      <c r="N43" s="8">
        <f>IFERROR(VLOOKUP(G43,'Base de faturamento'!A:C,3,FALSE),0)</f>
        <v>44646</v>
      </c>
      <c r="O43" s="8">
        <f t="shared" si="4"/>
        <v>44652</v>
      </c>
      <c r="P43" s="8">
        <f t="shared" si="5"/>
        <v>44652</v>
      </c>
    </row>
    <row r="44" spans="1:16" ht="15.75" customHeight="1" x14ac:dyDescent="0.25">
      <c r="A44" s="2" t="s">
        <v>70</v>
      </c>
      <c r="B44" s="2" t="s">
        <v>27</v>
      </c>
      <c r="C44" s="3" t="str">
        <f>VLOOKUP(B44,Dados!$A$3:$B$10,2,FALSE)</f>
        <v>Time 2</v>
      </c>
      <c r="D44" s="2" t="s">
        <v>22</v>
      </c>
      <c r="E44" s="2" t="s">
        <v>19</v>
      </c>
      <c r="F44" s="4">
        <v>24246743998</v>
      </c>
      <c r="G44" s="5" t="str">
        <f t="shared" si="0"/>
        <v>24246743998</v>
      </c>
      <c r="H44" s="6">
        <v>6438</v>
      </c>
      <c r="I44" s="6">
        <v>0</v>
      </c>
      <c r="J44" s="7">
        <f t="shared" si="1"/>
        <v>6438</v>
      </c>
      <c r="K44" s="7">
        <f t="shared" si="2"/>
        <v>1931.3999999999999</v>
      </c>
      <c r="L44" s="7">
        <f t="shared" si="3"/>
        <v>1</v>
      </c>
      <c r="M44" s="7">
        <f>IFERROR(VLOOKUP(G44,'Base de faturamento'!A:C,2,FALSE),0)</f>
        <v>6438</v>
      </c>
      <c r="N44" s="8">
        <f>IFERROR(VLOOKUP(G44,'Base de faturamento'!A:C,3,FALSE),0)</f>
        <v>44642</v>
      </c>
      <c r="O44" s="8">
        <f t="shared" si="4"/>
        <v>44652</v>
      </c>
      <c r="P44" s="8">
        <f t="shared" si="5"/>
        <v>44652</v>
      </c>
    </row>
    <row r="45" spans="1:16" ht="15.75" customHeight="1" x14ac:dyDescent="0.25">
      <c r="A45" s="2" t="s">
        <v>71</v>
      </c>
      <c r="B45" s="2" t="s">
        <v>17</v>
      </c>
      <c r="C45" s="3" t="str">
        <f>VLOOKUP(B45,Dados!$A$3:$B$10,2,FALSE)</f>
        <v>Time 3</v>
      </c>
      <c r="D45" s="2" t="s">
        <v>22</v>
      </c>
      <c r="E45" s="2" t="s">
        <v>25</v>
      </c>
      <c r="F45" s="4">
        <v>24340522540</v>
      </c>
      <c r="G45" s="5" t="str">
        <f t="shared" si="0"/>
        <v>24340522540</v>
      </c>
      <c r="H45" s="6">
        <v>3382</v>
      </c>
      <c r="I45" s="6">
        <v>8128</v>
      </c>
      <c r="J45" s="7">
        <f t="shared" si="1"/>
        <v>0</v>
      </c>
      <c r="K45" s="7">
        <f t="shared" si="2"/>
        <v>0</v>
      </c>
      <c r="L45" s="7">
        <f t="shared" si="3"/>
        <v>1</v>
      </c>
      <c r="M45" s="7">
        <f>IFERROR(VLOOKUP(G45,'Base de faturamento'!A:C,2,FALSE),0)</f>
        <v>3382</v>
      </c>
      <c r="N45" s="8">
        <f>IFERROR(VLOOKUP(G45,'Base de faturamento'!A:C,3,FALSE),0)</f>
        <v>44673</v>
      </c>
      <c r="O45" s="8">
        <f t="shared" si="4"/>
        <v>44682</v>
      </c>
      <c r="P45" s="8">
        <f t="shared" si="5"/>
        <v>44682</v>
      </c>
    </row>
    <row r="46" spans="1:16" ht="15.75" customHeight="1" x14ac:dyDescent="0.25">
      <c r="A46" s="2" t="s">
        <v>72</v>
      </c>
      <c r="B46" s="2" t="s">
        <v>31</v>
      </c>
      <c r="C46" s="3" t="str">
        <f>VLOOKUP(B46,Dados!$A$3:$B$10,2,FALSE)</f>
        <v>Time 3</v>
      </c>
      <c r="D46" s="2" t="s">
        <v>18</v>
      </c>
      <c r="E46" s="2" t="s">
        <v>19</v>
      </c>
      <c r="F46" s="4">
        <v>24947687311</v>
      </c>
      <c r="G46" s="5" t="str">
        <f t="shared" si="0"/>
        <v>24947687311</v>
      </c>
      <c r="H46" s="6">
        <v>1976</v>
      </c>
      <c r="I46" s="6">
        <v>0</v>
      </c>
      <c r="J46" s="7">
        <f t="shared" si="1"/>
        <v>1976</v>
      </c>
      <c r="K46" s="7">
        <f t="shared" si="2"/>
        <v>395.20000000000005</v>
      </c>
      <c r="L46" s="7">
        <f t="shared" si="3"/>
        <v>1</v>
      </c>
      <c r="M46" s="7">
        <f>IFERROR(VLOOKUP(G46,'Base de faturamento'!A:C,2,FALSE),0)</f>
        <v>1976</v>
      </c>
      <c r="N46" s="8">
        <f>IFERROR(VLOOKUP(G46,'Base de faturamento'!A:C,3,FALSE),0)</f>
        <v>44682</v>
      </c>
      <c r="O46" s="8">
        <f t="shared" si="4"/>
        <v>44713</v>
      </c>
      <c r="P46" s="8">
        <f t="shared" si="5"/>
        <v>44713</v>
      </c>
    </row>
    <row r="47" spans="1:16" ht="15.75" customHeight="1" x14ac:dyDescent="0.25">
      <c r="A47" s="2" t="s">
        <v>73</v>
      </c>
      <c r="B47" s="2" t="s">
        <v>36</v>
      </c>
      <c r="C47" s="3" t="str">
        <f>VLOOKUP(B47,Dados!$A$3:$B$10,2,FALSE)</f>
        <v>Time 1</v>
      </c>
      <c r="D47" s="2" t="s">
        <v>18</v>
      </c>
      <c r="E47" s="2" t="s">
        <v>19</v>
      </c>
      <c r="F47" s="4">
        <v>25054644977</v>
      </c>
      <c r="G47" s="5" t="str">
        <f t="shared" si="0"/>
        <v>25054644977</v>
      </c>
      <c r="H47" s="6">
        <v>1889</v>
      </c>
      <c r="I47" s="6">
        <v>0</v>
      </c>
      <c r="J47" s="7">
        <f t="shared" si="1"/>
        <v>1889</v>
      </c>
      <c r="K47" s="7">
        <f t="shared" si="2"/>
        <v>377.8</v>
      </c>
      <c r="L47" s="7">
        <f t="shared" si="3"/>
        <v>1</v>
      </c>
      <c r="M47" s="7">
        <f>IFERROR(VLOOKUP(G47,'Base de faturamento'!A:C,2,FALSE),0)</f>
        <v>1889</v>
      </c>
      <c r="N47" s="8">
        <f>IFERROR(VLOOKUP(G47,'Base de faturamento'!A:C,3,FALSE),0)</f>
        <v>44636</v>
      </c>
      <c r="O47" s="8">
        <f t="shared" si="4"/>
        <v>44635</v>
      </c>
      <c r="P47" s="8">
        <f t="shared" si="5"/>
        <v>44652</v>
      </c>
    </row>
    <row r="48" spans="1:16" ht="15.75" customHeight="1" x14ac:dyDescent="0.25">
      <c r="A48" s="2" t="s">
        <v>74</v>
      </c>
      <c r="B48" s="2" t="s">
        <v>33</v>
      </c>
      <c r="C48" s="3" t="str">
        <f>VLOOKUP(B48,Dados!$A$3:$B$10,2,FALSE)</f>
        <v>Time 1</v>
      </c>
      <c r="D48" s="2" t="s">
        <v>22</v>
      </c>
      <c r="E48" s="2" t="s">
        <v>19</v>
      </c>
      <c r="F48" s="4">
        <v>26493378700</v>
      </c>
      <c r="G48" s="5" t="str">
        <f t="shared" si="0"/>
        <v>26493378700</v>
      </c>
      <c r="H48" s="6">
        <v>5037</v>
      </c>
      <c r="I48" s="6">
        <v>0</v>
      </c>
      <c r="J48" s="7">
        <f t="shared" si="1"/>
        <v>5037</v>
      </c>
      <c r="K48" s="7">
        <f t="shared" si="2"/>
        <v>1511.1</v>
      </c>
      <c r="L48" s="7">
        <f t="shared" si="3"/>
        <v>1</v>
      </c>
      <c r="M48" s="7">
        <f>IFERROR(VLOOKUP(G48,'Base de faturamento'!A:C,2,FALSE),0)</f>
        <v>5037</v>
      </c>
      <c r="N48" s="8">
        <f>IFERROR(VLOOKUP(G48,'Base de faturamento'!A:C,3,FALSE),0)</f>
        <v>44721</v>
      </c>
      <c r="O48" s="8">
        <f t="shared" si="4"/>
        <v>44727</v>
      </c>
      <c r="P48" s="8">
        <f t="shared" si="5"/>
        <v>44743</v>
      </c>
    </row>
    <row r="49" spans="1:16" ht="15.75" customHeight="1" x14ac:dyDescent="0.25">
      <c r="A49" s="2" t="s">
        <v>75</v>
      </c>
      <c r="B49" s="2" t="s">
        <v>24</v>
      </c>
      <c r="C49" s="3" t="str">
        <f>VLOOKUP(B49,Dados!$A$3:$B$10,2,FALSE)</f>
        <v>Time 2</v>
      </c>
      <c r="D49" s="2" t="s">
        <v>22</v>
      </c>
      <c r="E49" s="2" t="s">
        <v>19</v>
      </c>
      <c r="F49" s="4">
        <v>26691598856</v>
      </c>
      <c r="G49" s="5" t="str">
        <f t="shared" si="0"/>
        <v>26691598856</v>
      </c>
      <c r="H49" s="6">
        <v>4947</v>
      </c>
      <c r="I49" s="6">
        <v>0</v>
      </c>
      <c r="J49" s="7">
        <f t="shared" si="1"/>
        <v>4947</v>
      </c>
      <c r="K49" s="7">
        <f t="shared" si="2"/>
        <v>1484.1</v>
      </c>
      <c r="L49" s="7">
        <f t="shared" si="3"/>
        <v>1</v>
      </c>
      <c r="M49" s="7">
        <f>IFERROR(VLOOKUP(G49,'Base de faturamento'!A:C,2,FALSE),0)</f>
        <v>4947</v>
      </c>
      <c r="N49" s="8">
        <f>IFERROR(VLOOKUP(G49,'Base de faturamento'!A:C,3,FALSE),0)</f>
        <v>44629</v>
      </c>
      <c r="O49" s="8">
        <f t="shared" si="4"/>
        <v>44652</v>
      </c>
      <c r="P49" s="8">
        <f t="shared" si="5"/>
        <v>44652</v>
      </c>
    </row>
    <row r="50" spans="1:16" ht="15.75" customHeight="1" x14ac:dyDescent="0.25">
      <c r="A50" s="2" t="s">
        <v>76</v>
      </c>
      <c r="B50" s="2" t="s">
        <v>17</v>
      </c>
      <c r="C50" s="3" t="str">
        <f>VLOOKUP(B50,Dados!$A$3:$B$10,2,FALSE)</f>
        <v>Time 3</v>
      </c>
      <c r="D50" s="2" t="s">
        <v>18</v>
      </c>
      <c r="E50" s="2" t="s">
        <v>19</v>
      </c>
      <c r="F50" s="4">
        <v>27113670427</v>
      </c>
      <c r="G50" s="5" t="str">
        <f t="shared" si="0"/>
        <v>27113670427</v>
      </c>
      <c r="H50" s="6">
        <v>3474</v>
      </c>
      <c r="I50" s="6">
        <v>0</v>
      </c>
      <c r="J50" s="7">
        <f t="shared" si="1"/>
        <v>3474</v>
      </c>
      <c r="K50" s="7">
        <f t="shared" si="2"/>
        <v>694.80000000000007</v>
      </c>
      <c r="L50" s="7">
        <f t="shared" si="3"/>
        <v>1</v>
      </c>
      <c r="M50" s="7">
        <f>IFERROR(VLOOKUP(G50,'Base de faturamento'!A:C,2,FALSE),0)</f>
        <v>3474</v>
      </c>
      <c r="N50" s="8">
        <f>IFERROR(VLOOKUP(G50,'Base de faturamento'!A:C,3,FALSE),0)</f>
        <v>44721</v>
      </c>
      <c r="O50" s="8">
        <f t="shared" si="4"/>
        <v>44743</v>
      </c>
      <c r="P50" s="8">
        <f t="shared" si="5"/>
        <v>44743</v>
      </c>
    </row>
    <row r="51" spans="1:16" ht="15.75" customHeight="1" x14ac:dyDescent="0.25">
      <c r="A51" s="2" t="s">
        <v>77</v>
      </c>
      <c r="B51" s="2" t="s">
        <v>21</v>
      </c>
      <c r="C51" s="3" t="str">
        <f>VLOOKUP(B51,Dados!$A$3:$B$10,2,FALSE)</f>
        <v>Time 1</v>
      </c>
      <c r="D51" s="2" t="s">
        <v>22</v>
      </c>
      <c r="E51" s="2" t="s">
        <v>25</v>
      </c>
      <c r="F51" s="4">
        <v>27674450597</v>
      </c>
      <c r="G51" s="5" t="str">
        <f t="shared" si="0"/>
        <v>27674450597</v>
      </c>
      <c r="H51" s="6">
        <v>5628</v>
      </c>
      <c r="I51" s="6">
        <v>1847</v>
      </c>
      <c r="J51" s="7">
        <f t="shared" si="1"/>
        <v>3781</v>
      </c>
      <c r="K51" s="7">
        <f t="shared" si="2"/>
        <v>1134.3</v>
      </c>
      <c r="L51" s="7">
        <f t="shared" si="3"/>
        <v>1</v>
      </c>
      <c r="M51" s="7">
        <f>IFERROR(VLOOKUP(G51,'Base de faturamento'!A:C,2,FALSE),0)</f>
        <v>5628</v>
      </c>
      <c r="N51" s="8">
        <f>IFERROR(VLOOKUP(G51,'Base de faturamento'!A:C,3,FALSE),0)</f>
        <v>44674</v>
      </c>
      <c r="O51" s="8">
        <f t="shared" si="4"/>
        <v>44666</v>
      </c>
      <c r="P51" s="8">
        <f t="shared" si="5"/>
        <v>44682</v>
      </c>
    </row>
    <row r="52" spans="1:16" ht="15.75" customHeight="1" x14ac:dyDescent="0.25">
      <c r="A52" s="2" t="s">
        <v>78</v>
      </c>
      <c r="B52" s="2" t="s">
        <v>17</v>
      </c>
      <c r="C52" s="3" t="str">
        <f>VLOOKUP(B52,Dados!$A$3:$B$10,2,FALSE)</f>
        <v>Time 3</v>
      </c>
      <c r="D52" s="2" t="s">
        <v>22</v>
      </c>
      <c r="E52" s="2" t="s">
        <v>19</v>
      </c>
      <c r="F52" s="4">
        <v>27847516322</v>
      </c>
      <c r="G52" s="5" t="str">
        <f t="shared" si="0"/>
        <v>27847516322</v>
      </c>
      <c r="H52" s="6">
        <v>1736</v>
      </c>
      <c r="I52" s="6">
        <v>0</v>
      </c>
      <c r="J52" s="7">
        <f t="shared" si="1"/>
        <v>1736</v>
      </c>
      <c r="K52" s="7">
        <f t="shared" si="2"/>
        <v>520.79999999999995</v>
      </c>
      <c r="L52" s="7">
        <f t="shared" si="3"/>
        <v>1</v>
      </c>
      <c r="M52" s="7">
        <f>IFERROR(VLOOKUP(G52,'Base de faturamento'!A:C,2,FALSE),0)</f>
        <v>1736</v>
      </c>
      <c r="N52" s="8">
        <f>IFERROR(VLOOKUP(G52,'Base de faturamento'!A:C,3,FALSE),0)</f>
        <v>44664</v>
      </c>
      <c r="O52" s="8">
        <f t="shared" si="4"/>
        <v>44682</v>
      </c>
      <c r="P52" s="8">
        <f t="shared" si="5"/>
        <v>44682</v>
      </c>
    </row>
    <row r="53" spans="1:16" ht="15" x14ac:dyDescent="0.25">
      <c r="A53" s="2" t="s">
        <v>79</v>
      </c>
      <c r="B53" s="2" t="s">
        <v>17</v>
      </c>
      <c r="C53" s="3" t="str">
        <f>VLOOKUP(B53,Dados!$A$3:$B$10,2,FALSE)</f>
        <v>Time 3</v>
      </c>
      <c r="D53" s="2" t="s">
        <v>22</v>
      </c>
      <c r="E53" s="2" t="s">
        <v>19</v>
      </c>
      <c r="F53" s="4">
        <v>28389528151</v>
      </c>
      <c r="G53" s="5" t="str">
        <f t="shared" si="0"/>
        <v>28389528151</v>
      </c>
      <c r="H53" s="6">
        <v>2349</v>
      </c>
      <c r="I53" s="6">
        <v>0</v>
      </c>
      <c r="J53" s="7">
        <f t="shared" si="1"/>
        <v>2349</v>
      </c>
      <c r="K53" s="7">
        <f t="shared" si="2"/>
        <v>704.69999999999993</v>
      </c>
      <c r="L53" s="7">
        <f t="shared" si="3"/>
        <v>1</v>
      </c>
      <c r="M53" s="7">
        <f>IFERROR(VLOOKUP(G53,'Base de faturamento'!A:C,2,FALSE),0)</f>
        <v>2349</v>
      </c>
      <c r="N53" s="8">
        <f>IFERROR(VLOOKUP(G53,'Base de faturamento'!A:C,3,FALSE),0)</f>
        <v>44627</v>
      </c>
      <c r="O53" s="8">
        <f t="shared" si="4"/>
        <v>44652</v>
      </c>
      <c r="P53" s="8">
        <f t="shared" si="5"/>
        <v>44652</v>
      </c>
    </row>
    <row r="54" spans="1:16" ht="15" x14ac:dyDescent="0.25">
      <c r="A54" s="2" t="s">
        <v>80</v>
      </c>
      <c r="B54" s="2" t="s">
        <v>29</v>
      </c>
      <c r="C54" s="3" t="str">
        <f>VLOOKUP(B54,Dados!$A$3:$B$10,2,FALSE)</f>
        <v>Time 2</v>
      </c>
      <c r="D54" s="2" t="s">
        <v>18</v>
      </c>
      <c r="E54" s="2" t="s">
        <v>25</v>
      </c>
      <c r="F54" s="4">
        <v>28409390588</v>
      </c>
      <c r="G54" s="5" t="str">
        <f t="shared" si="0"/>
        <v>28409390588</v>
      </c>
      <c r="H54" s="6">
        <v>8384</v>
      </c>
      <c r="I54" s="6">
        <v>2272</v>
      </c>
      <c r="J54" s="7">
        <f t="shared" si="1"/>
        <v>6112</v>
      </c>
      <c r="K54" s="7">
        <f t="shared" si="2"/>
        <v>1222.4000000000001</v>
      </c>
      <c r="L54" s="7">
        <f t="shared" si="3"/>
        <v>1</v>
      </c>
      <c r="M54" s="7">
        <f>IFERROR(VLOOKUP(G54,'Base de faturamento'!A:C,2,FALSE),0)</f>
        <v>8384</v>
      </c>
      <c r="N54" s="8">
        <f>IFERROR(VLOOKUP(G54,'Base de faturamento'!A:C,3,FALSE),0)</f>
        <v>44692</v>
      </c>
      <c r="O54" s="8">
        <f t="shared" si="4"/>
        <v>44713</v>
      </c>
      <c r="P54" s="8">
        <f t="shared" si="5"/>
        <v>44713</v>
      </c>
    </row>
    <row r="55" spans="1:16" ht="15" x14ac:dyDescent="0.25">
      <c r="A55" s="2" t="s">
        <v>81</v>
      </c>
      <c r="B55" s="2" t="s">
        <v>24</v>
      </c>
      <c r="C55" s="3" t="str">
        <f>VLOOKUP(B55,Dados!$A$3:$B$10,2,FALSE)</f>
        <v>Time 2</v>
      </c>
      <c r="D55" s="2" t="s">
        <v>18</v>
      </c>
      <c r="E55" s="2" t="s">
        <v>25</v>
      </c>
      <c r="F55" s="4">
        <v>28708544014</v>
      </c>
      <c r="G55" s="5" t="str">
        <f t="shared" si="0"/>
        <v>28708544014</v>
      </c>
      <c r="H55" s="6">
        <v>3545</v>
      </c>
      <c r="I55" s="6">
        <v>6120</v>
      </c>
      <c r="J55" s="7">
        <f t="shared" si="1"/>
        <v>0</v>
      </c>
      <c r="K55" s="7">
        <f t="shared" si="2"/>
        <v>0</v>
      </c>
      <c r="L55" s="7">
        <f t="shared" si="3"/>
        <v>1</v>
      </c>
      <c r="M55" s="7">
        <f>IFERROR(VLOOKUP(G55,'Base de faturamento'!A:C,2,FALSE),0)</f>
        <v>3545</v>
      </c>
      <c r="N55" s="8">
        <f>IFERROR(VLOOKUP(G55,'Base de faturamento'!A:C,3,FALSE),0)</f>
        <v>44652</v>
      </c>
      <c r="O55" s="8">
        <f t="shared" si="4"/>
        <v>44682</v>
      </c>
      <c r="P55" s="8">
        <f t="shared" si="5"/>
        <v>44682</v>
      </c>
    </row>
    <row r="56" spans="1:16" ht="15" x14ac:dyDescent="0.25">
      <c r="A56" s="2" t="s">
        <v>82</v>
      </c>
      <c r="B56" s="2" t="s">
        <v>31</v>
      </c>
      <c r="C56" s="3" t="str">
        <f>VLOOKUP(B56,Dados!$A$3:$B$10,2,FALSE)</f>
        <v>Time 3</v>
      </c>
      <c r="D56" s="2" t="s">
        <v>22</v>
      </c>
      <c r="E56" s="2" t="s">
        <v>25</v>
      </c>
      <c r="F56" s="4">
        <v>29023657102</v>
      </c>
      <c r="G56" s="5" t="str">
        <f t="shared" si="0"/>
        <v>29023657102</v>
      </c>
      <c r="H56" s="6">
        <v>7718</v>
      </c>
      <c r="I56" s="6">
        <v>5224</v>
      </c>
      <c r="J56" s="7">
        <f t="shared" si="1"/>
        <v>2494</v>
      </c>
      <c r="K56" s="7">
        <f t="shared" si="2"/>
        <v>748.19999999999993</v>
      </c>
      <c r="L56" s="7">
        <f t="shared" si="3"/>
        <v>1</v>
      </c>
      <c r="M56" s="7">
        <f>IFERROR(VLOOKUP(G56,'Base de faturamento'!A:C,2,FALSE),0)</f>
        <v>7718</v>
      </c>
      <c r="N56" s="8">
        <f>IFERROR(VLOOKUP(G56,'Base de faturamento'!A:C,3,FALSE),0)</f>
        <v>44666</v>
      </c>
      <c r="O56" s="8">
        <f t="shared" si="4"/>
        <v>44682</v>
      </c>
      <c r="P56" s="8">
        <f t="shared" si="5"/>
        <v>44682</v>
      </c>
    </row>
    <row r="57" spans="1:16" ht="15" x14ac:dyDescent="0.25">
      <c r="A57" s="2" t="s">
        <v>83</v>
      </c>
      <c r="B57" s="2" t="s">
        <v>27</v>
      </c>
      <c r="C57" s="3" t="str">
        <f>VLOOKUP(B57,Dados!$A$3:$B$10,2,FALSE)</f>
        <v>Time 2</v>
      </c>
      <c r="D57" s="2" t="s">
        <v>22</v>
      </c>
      <c r="E57" s="2" t="s">
        <v>19</v>
      </c>
      <c r="F57" s="4">
        <v>29200656524</v>
      </c>
      <c r="G57" s="5" t="str">
        <f t="shared" si="0"/>
        <v>29200656524</v>
      </c>
      <c r="H57" s="6">
        <v>1792</v>
      </c>
      <c r="I57" s="6">
        <v>0</v>
      </c>
      <c r="J57" s="7">
        <f t="shared" si="1"/>
        <v>1792</v>
      </c>
      <c r="K57" s="7">
        <f t="shared" si="2"/>
        <v>537.6</v>
      </c>
      <c r="L57" s="7">
        <f t="shared" si="3"/>
        <v>1</v>
      </c>
      <c r="M57" s="7">
        <f>IFERROR(VLOOKUP(G57,'Base de faturamento'!A:C,2,FALSE),0)</f>
        <v>1792</v>
      </c>
      <c r="N57" s="8">
        <f>IFERROR(VLOOKUP(G57,'Base de faturamento'!A:C,3,FALSE),0)</f>
        <v>44631</v>
      </c>
      <c r="O57" s="8">
        <f t="shared" si="4"/>
        <v>44652</v>
      </c>
      <c r="P57" s="8">
        <f t="shared" si="5"/>
        <v>44652</v>
      </c>
    </row>
    <row r="58" spans="1:16" ht="15" x14ac:dyDescent="0.25">
      <c r="A58" s="2" t="s">
        <v>84</v>
      </c>
      <c r="B58" s="2" t="s">
        <v>33</v>
      </c>
      <c r="C58" s="3" t="str">
        <f>VLOOKUP(B58,Dados!$A$3:$B$10,2,FALSE)</f>
        <v>Time 1</v>
      </c>
      <c r="D58" s="2" t="s">
        <v>22</v>
      </c>
      <c r="E58" s="2" t="s">
        <v>25</v>
      </c>
      <c r="F58" s="4">
        <v>29205168465</v>
      </c>
      <c r="G58" s="5" t="str">
        <f t="shared" si="0"/>
        <v>29205168465</v>
      </c>
      <c r="H58" s="6">
        <v>9413</v>
      </c>
      <c r="I58" s="6">
        <v>5145</v>
      </c>
      <c r="J58" s="7">
        <f t="shared" si="1"/>
        <v>4268</v>
      </c>
      <c r="K58" s="7">
        <f t="shared" si="2"/>
        <v>0</v>
      </c>
      <c r="L58" s="7">
        <f t="shared" si="3"/>
        <v>0</v>
      </c>
      <c r="M58" s="7">
        <f>IFERROR(VLOOKUP(G58,'Base de faturamento'!A:C,2,FALSE),0)</f>
        <v>0</v>
      </c>
      <c r="N58" s="8">
        <f>IFERROR(VLOOKUP(G58,'Base de faturamento'!A:C,3,FALSE),0)</f>
        <v>0</v>
      </c>
      <c r="O58" s="8">
        <f t="shared" si="4"/>
        <v>15</v>
      </c>
      <c r="P58" s="9" t="b">
        <f t="shared" si="5"/>
        <v>0</v>
      </c>
    </row>
    <row r="59" spans="1:16" ht="15" x14ac:dyDescent="0.25">
      <c r="A59" s="2" t="s">
        <v>85</v>
      </c>
      <c r="B59" s="2" t="s">
        <v>31</v>
      </c>
      <c r="C59" s="3" t="str">
        <f>VLOOKUP(B59,Dados!$A$3:$B$10,2,FALSE)</f>
        <v>Time 3</v>
      </c>
      <c r="D59" s="2" t="s">
        <v>22</v>
      </c>
      <c r="E59" s="2" t="s">
        <v>19</v>
      </c>
      <c r="F59" s="4">
        <v>29618698846</v>
      </c>
      <c r="G59" s="5" t="str">
        <f t="shared" si="0"/>
        <v>29618698846</v>
      </c>
      <c r="H59" s="6">
        <v>3165</v>
      </c>
      <c r="I59" s="6">
        <v>0</v>
      </c>
      <c r="J59" s="7">
        <f t="shared" si="1"/>
        <v>3165</v>
      </c>
      <c r="K59" s="7">
        <f t="shared" si="2"/>
        <v>949.5</v>
      </c>
      <c r="L59" s="7">
        <f t="shared" si="3"/>
        <v>1</v>
      </c>
      <c r="M59" s="7">
        <f>IFERROR(VLOOKUP(G59,'Base de faturamento'!A:C,2,FALSE),0)</f>
        <v>3165</v>
      </c>
      <c r="N59" s="8">
        <f>IFERROR(VLOOKUP(G59,'Base de faturamento'!A:C,3,FALSE),0)</f>
        <v>44702</v>
      </c>
      <c r="O59" s="8">
        <f t="shared" si="4"/>
        <v>44713</v>
      </c>
      <c r="P59" s="8">
        <f t="shared" si="5"/>
        <v>44713</v>
      </c>
    </row>
    <row r="60" spans="1:16" ht="15" x14ac:dyDescent="0.25">
      <c r="A60" s="2" t="s">
        <v>86</v>
      </c>
      <c r="B60" s="2" t="s">
        <v>29</v>
      </c>
      <c r="C60" s="3" t="str">
        <f>VLOOKUP(B60,Dados!$A$3:$B$10,2,FALSE)</f>
        <v>Time 2</v>
      </c>
      <c r="D60" s="2" t="s">
        <v>22</v>
      </c>
      <c r="E60" s="2" t="s">
        <v>19</v>
      </c>
      <c r="F60" s="4">
        <v>29847616541</v>
      </c>
      <c r="G60" s="5" t="str">
        <f t="shared" si="0"/>
        <v>29847616541</v>
      </c>
      <c r="H60" s="6">
        <v>1007</v>
      </c>
      <c r="I60" s="6">
        <v>0</v>
      </c>
      <c r="J60" s="7">
        <f t="shared" si="1"/>
        <v>1007</v>
      </c>
      <c r="K60" s="7">
        <f t="shared" si="2"/>
        <v>302.09999999999997</v>
      </c>
      <c r="L60" s="7">
        <f t="shared" si="3"/>
        <v>1</v>
      </c>
      <c r="M60" s="7">
        <f>IFERROR(VLOOKUP(G60,'Base de faturamento'!A:C,2,FALSE),0)</f>
        <v>1007</v>
      </c>
      <c r="N60" s="8">
        <f>IFERROR(VLOOKUP(G60,'Base de faturamento'!A:C,3,FALSE),0)</f>
        <v>44671</v>
      </c>
      <c r="O60" s="8">
        <f t="shared" si="4"/>
        <v>44682</v>
      </c>
      <c r="P60" s="8">
        <f t="shared" si="5"/>
        <v>44682</v>
      </c>
    </row>
    <row r="61" spans="1:16" ht="15" x14ac:dyDescent="0.25">
      <c r="A61" s="2" t="s">
        <v>87</v>
      </c>
      <c r="B61" s="2" t="s">
        <v>29</v>
      </c>
      <c r="C61" s="3" t="str">
        <f>VLOOKUP(B61,Dados!$A$3:$B$10,2,FALSE)</f>
        <v>Time 2</v>
      </c>
      <c r="D61" s="2" t="s">
        <v>18</v>
      </c>
      <c r="E61" s="2" t="s">
        <v>25</v>
      </c>
      <c r="F61" s="4">
        <v>29876935639</v>
      </c>
      <c r="G61" s="5" t="str">
        <f t="shared" si="0"/>
        <v>29876935639</v>
      </c>
      <c r="H61" s="6">
        <v>6280</v>
      </c>
      <c r="I61" s="6">
        <v>9776</v>
      </c>
      <c r="J61" s="7">
        <f t="shared" si="1"/>
        <v>0</v>
      </c>
      <c r="K61" s="7">
        <f t="shared" si="2"/>
        <v>0</v>
      </c>
      <c r="L61" s="7">
        <f t="shared" si="3"/>
        <v>1</v>
      </c>
      <c r="M61" s="7">
        <f>IFERROR(VLOOKUP(G61,'Base de faturamento'!A:C,2,FALSE),0)</f>
        <v>6280</v>
      </c>
      <c r="N61" s="8">
        <f>IFERROR(VLOOKUP(G61,'Base de faturamento'!A:C,3,FALSE),0)</f>
        <v>44685</v>
      </c>
      <c r="O61" s="8">
        <f t="shared" si="4"/>
        <v>44713</v>
      </c>
      <c r="P61" s="8">
        <f t="shared" si="5"/>
        <v>44713</v>
      </c>
    </row>
    <row r="62" spans="1:16" ht="15" x14ac:dyDescent="0.25">
      <c r="A62" s="2" t="s">
        <v>88</v>
      </c>
      <c r="B62" s="2" t="s">
        <v>17</v>
      </c>
      <c r="C62" s="3" t="str">
        <f>VLOOKUP(B62,Dados!$A$3:$B$10,2,FALSE)</f>
        <v>Time 3</v>
      </c>
      <c r="D62" s="2" t="s">
        <v>18</v>
      </c>
      <c r="E62" s="2" t="s">
        <v>19</v>
      </c>
      <c r="F62" s="4">
        <v>30361266028</v>
      </c>
      <c r="G62" s="5" t="str">
        <f t="shared" si="0"/>
        <v>30361266028</v>
      </c>
      <c r="H62" s="6">
        <v>4245</v>
      </c>
      <c r="I62" s="6">
        <v>0</v>
      </c>
      <c r="J62" s="7">
        <f t="shared" si="1"/>
        <v>4245</v>
      </c>
      <c r="K62" s="7">
        <f t="shared" si="2"/>
        <v>849</v>
      </c>
      <c r="L62" s="7">
        <f t="shared" si="3"/>
        <v>1</v>
      </c>
      <c r="M62" s="7">
        <f>IFERROR(VLOOKUP(G62,'Base de faturamento'!A:C,2,FALSE),0)</f>
        <v>4245</v>
      </c>
      <c r="N62" s="8">
        <f>IFERROR(VLOOKUP(G62,'Base de faturamento'!A:C,3,FALSE),0)</f>
        <v>44711</v>
      </c>
      <c r="O62" s="8">
        <f t="shared" si="4"/>
        <v>44713</v>
      </c>
      <c r="P62" s="8">
        <f t="shared" si="5"/>
        <v>44713</v>
      </c>
    </row>
    <row r="63" spans="1:16" ht="15" x14ac:dyDescent="0.25">
      <c r="A63" s="2" t="s">
        <v>89</v>
      </c>
      <c r="B63" s="2" t="s">
        <v>36</v>
      </c>
      <c r="C63" s="3" t="str">
        <f>VLOOKUP(B63,Dados!$A$3:$B$10,2,FALSE)</f>
        <v>Time 1</v>
      </c>
      <c r="D63" s="2" t="s">
        <v>22</v>
      </c>
      <c r="E63" s="2" t="s">
        <v>19</v>
      </c>
      <c r="F63" s="4">
        <v>31261522571</v>
      </c>
      <c r="G63" s="5" t="str">
        <f t="shared" si="0"/>
        <v>31261522571</v>
      </c>
      <c r="H63" s="6">
        <v>7960</v>
      </c>
      <c r="I63" s="6">
        <v>0</v>
      </c>
      <c r="J63" s="7">
        <f t="shared" si="1"/>
        <v>7960</v>
      </c>
      <c r="K63" s="7">
        <f t="shared" si="2"/>
        <v>2388</v>
      </c>
      <c r="L63" s="7">
        <f t="shared" si="3"/>
        <v>1</v>
      </c>
      <c r="M63" s="7">
        <f>IFERROR(VLOOKUP(G63,'Base de faturamento'!A:C,2,FALSE),0)</f>
        <v>7960</v>
      </c>
      <c r="N63" s="8">
        <f>IFERROR(VLOOKUP(G63,'Base de faturamento'!A:C,3,FALSE),0)</f>
        <v>44655</v>
      </c>
      <c r="O63" s="8">
        <f t="shared" si="4"/>
        <v>44666</v>
      </c>
      <c r="P63" s="8">
        <f t="shared" si="5"/>
        <v>44682</v>
      </c>
    </row>
    <row r="64" spans="1:16" ht="15" x14ac:dyDescent="0.25">
      <c r="A64" s="2" t="s">
        <v>90</v>
      </c>
      <c r="B64" s="2" t="s">
        <v>21</v>
      </c>
      <c r="C64" s="3" t="str">
        <f>VLOOKUP(B64,Dados!$A$3:$B$10,2,FALSE)</f>
        <v>Time 1</v>
      </c>
      <c r="D64" s="2" t="s">
        <v>18</v>
      </c>
      <c r="E64" s="2" t="s">
        <v>19</v>
      </c>
      <c r="F64" s="4">
        <v>31360855667</v>
      </c>
      <c r="G64" s="5" t="str">
        <f t="shared" si="0"/>
        <v>31360855667</v>
      </c>
      <c r="H64" s="6">
        <v>3865</v>
      </c>
      <c r="I64" s="6">
        <v>0</v>
      </c>
      <c r="J64" s="7">
        <f t="shared" si="1"/>
        <v>3865</v>
      </c>
      <c r="K64" s="7">
        <f t="shared" si="2"/>
        <v>773</v>
      </c>
      <c r="L64" s="7">
        <f t="shared" si="3"/>
        <v>1</v>
      </c>
      <c r="M64" s="7">
        <f>IFERROR(VLOOKUP(G64,'Base de faturamento'!A:C,2,FALSE),0)</f>
        <v>3865</v>
      </c>
      <c r="N64" s="8">
        <f>IFERROR(VLOOKUP(G64,'Base de faturamento'!A:C,3,FALSE),0)</f>
        <v>44704</v>
      </c>
      <c r="O64" s="8">
        <f t="shared" si="4"/>
        <v>44696</v>
      </c>
      <c r="P64" s="8">
        <f t="shared" si="5"/>
        <v>44713</v>
      </c>
    </row>
    <row r="65" spans="1:16" ht="15" x14ac:dyDescent="0.25">
      <c r="A65" s="2" t="s">
        <v>91</v>
      </c>
      <c r="B65" s="2" t="s">
        <v>17</v>
      </c>
      <c r="C65" s="3" t="str">
        <f>VLOOKUP(B65,Dados!$A$3:$B$10,2,FALSE)</f>
        <v>Time 3</v>
      </c>
      <c r="D65" s="2" t="s">
        <v>18</v>
      </c>
      <c r="E65" s="2" t="s">
        <v>25</v>
      </c>
      <c r="F65" s="4">
        <v>32251635550</v>
      </c>
      <c r="G65" s="5" t="str">
        <f t="shared" si="0"/>
        <v>32251635550</v>
      </c>
      <c r="H65" s="6">
        <v>1227</v>
      </c>
      <c r="I65" s="6">
        <v>3667</v>
      </c>
      <c r="J65" s="7">
        <f t="shared" si="1"/>
        <v>0</v>
      </c>
      <c r="K65" s="7">
        <f t="shared" si="2"/>
        <v>0</v>
      </c>
      <c r="L65" s="7">
        <f t="shared" si="3"/>
        <v>1</v>
      </c>
      <c r="M65" s="7">
        <f>IFERROR(VLOOKUP(G65,'Base de faturamento'!A:C,2,FALSE),0)</f>
        <v>1227</v>
      </c>
      <c r="N65" s="8">
        <f>IFERROR(VLOOKUP(G65,'Base de faturamento'!A:C,3,FALSE),0)</f>
        <v>44714</v>
      </c>
      <c r="O65" s="8">
        <f t="shared" si="4"/>
        <v>44743</v>
      </c>
      <c r="P65" s="8">
        <f t="shared" si="5"/>
        <v>44743</v>
      </c>
    </row>
    <row r="66" spans="1:16" ht="15" x14ac:dyDescent="0.25">
      <c r="A66" s="2" t="s">
        <v>92</v>
      </c>
      <c r="B66" s="2" t="s">
        <v>24</v>
      </c>
      <c r="C66" s="3" t="str">
        <f>VLOOKUP(B66,Dados!$A$3:$B$10,2,FALSE)</f>
        <v>Time 2</v>
      </c>
      <c r="D66" s="2" t="s">
        <v>22</v>
      </c>
      <c r="E66" s="2" t="s">
        <v>25</v>
      </c>
      <c r="F66" s="4">
        <v>32267168945</v>
      </c>
      <c r="G66" s="5" t="str">
        <f t="shared" si="0"/>
        <v>32267168945</v>
      </c>
      <c r="H66" s="6">
        <v>5249</v>
      </c>
      <c r="I66" s="6">
        <v>1298</v>
      </c>
      <c r="J66" s="7">
        <f t="shared" si="1"/>
        <v>3951</v>
      </c>
      <c r="K66" s="7">
        <f t="shared" si="2"/>
        <v>0</v>
      </c>
      <c r="L66" s="7">
        <f t="shared" si="3"/>
        <v>0</v>
      </c>
      <c r="M66" s="7">
        <f>IFERROR(VLOOKUP(G66,'Base de faturamento'!A:C,2,FALSE),0)</f>
        <v>0</v>
      </c>
      <c r="N66" s="8">
        <f>IFERROR(VLOOKUP(G66,'Base de faturamento'!A:C,3,FALSE),0)</f>
        <v>0</v>
      </c>
      <c r="O66" s="8">
        <f t="shared" si="4"/>
        <v>32</v>
      </c>
      <c r="P66" s="9" t="b">
        <f t="shared" si="5"/>
        <v>0</v>
      </c>
    </row>
    <row r="67" spans="1:16" ht="15" x14ac:dyDescent="0.25">
      <c r="A67" s="2" t="s">
        <v>93</v>
      </c>
      <c r="B67" s="2" t="s">
        <v>17</v>
      </c>
      <c r="C67" s="3" t="str">
        <f>VLOOKUP(B67,Dados!$A$3:$B$10,2,FALSE)</f>
        <v>Time 3</v>
      </c>
      <c r="D67" s="2" t="s">
        <v>18</v>
      </c>
      <c r="E67" s="2" t="s">
        <v>25</v>
      </c>
      <c r="F67" s="4">
        <v>32756974080</v>
      </c>
      <c r="G67" s="5" t="str">
        <f t="shared" si="0"/>
        <v>32756974080</v>
      </c>
      <c r="H67" s="6">
        <v>5477</v>
      </c>
      <c r="I67" s="6">
        <v>6351</v>
      </c>
      <c r="J67" s="7">
        <f t="shared" si="1"/>
        <v>0</v>
      </c>
      <c r="K67" s="7">
        <f t="shared" si="2"/>
        <v>0</v>
      </c>
      <c r="L67" s="7">
        <f t="shared" si="3"/>
        <v>1</v>
      </c>
      <c r="M67" s="7">
        <f>IFERROR(VLOOKUP(G67,'Base de faturamento'!A:C,2,FALSE),0)</f>
        <v>5477</v>
      </c>
      <c r="N67" s="8">
        <f>IFERROR(VLOOKUP(G67,'Base de faturamento'!A:C,3,FALSE),0)</f>
        <v>44663</v>
      </c>
      <c r="O67" s="8">
        <f t="shared" si="4"/>
        <v>44682</v>
      </c>
      <c r="P67" s="8">
        <f t="shared" si="5"/>
        <v>44682</v>
      </c>
    </row>
    <row r="68" spans="1:16" ht="15" x14ac:dyDescent="0.25">
      <c r="A68" s="2" t="s">
        <v>94</v>
      </c>
      <c r="B68" s="2" t="s">
        <v>21</v>
      </c>
      <c r="C68" s="3" t="str">
        <f>VLOOKUP(B68,Dados!$A$3:$B$10,2,FALSE)</f>
        <v>Time 1</v>
      </c>
      <c r="D68" s="2" t="s">
        <v>18</v>
      </c>
      <c r="E68" s="2" t="s">
        <v>19</v>
      </c>
      <c r="F68" s="4">
        <v>33200951092</v>
      </c>
      <c r="G68" s="5" t="str">
        <f t="shared" si="0"/>
        <v>33200951092</v>
      </c>
      <c r="H68" s="6">
        <v>4463</v>
      </c>
      <c r="I68" s="6">
        <v>0</v>
      </c>
      <c r="J68" s="7">
        <f t="shared" si="1"/>
        <v>4463</v>
      </c>
      <c r="K68" s="7">
        <f t="shared" si="2"/>
        <v>892.6</v>
      </c>
      <c r="L68" s="7">
        <f t="shared" si="3"/>
        <v>1</v>
      </c>
      <c r="M68" s="7">
        <f>IFERROR(VLOOKUP(G68,'Base de faturamento'!A:C,2,FALSE),0)</f>
        <v>4463</v>
      </c>
      <c r="N68" s="8">
        <f>IFERROR(VLOOKUP(G68,'Base de faturamento'!A:C,3,FALSE),0)</f>
        <v>44719</v>
      </c>
      <c r="O68" s="8">
        <f t="shared" si="4"/>
        <v>44727</v>
      </c>
      <c r="P68" s="8">
        <f t="shared" si="5"/>
        <v>44743</v>
      </c>
    </row>
    <row r="69" spans="1:16" ht="15" x14ac:dyDescent="0.25">
      <c r="A69" s="2" t="s">
        <v>95</v>
      </c>
      <c r="B69" s="2" t="s">
        <v>36</v>
      </c>
      <c r="C69" s="3" t="str">
        <f>VLOOKUP(B69,Dados!$A$3:$B$10,2,FALSE)</f>
        <v>Time 1</v>
      </c>
      <c r="D69" s="2" t="s">
        <v>22</v>
      </c>
      <c r="E69" s="2" t="s">
        <v>25</v>
      </c>
      <c r="F69" s="4">
        <v>33351064437</v>
      </c>
      <c r="G69" s="5" t="str">
        <f t="shared" si="0"/>
        <v>33351064437</v>
      </c>
      <c r="H69" s="6">
        <v>7475</v>
      </c>
      <c r="I69" s="6">
        <v>6446</v>
      </c>
      <c r="J69" s="7">
        <f t="shared" si="1"/>
        <v>1029</v>
      </c>
      <c r="K69" s="7">
        <f t="shared" si="2"/>
        <v>0</v>
      </c>
      <c r="L69" s="7">
        <f t="shared" si="3"/>
        <v>0</v>
      </c>
      <c r="M69" s="7">
        <f>IFERROR(VLOOKUP(G69,'Base de faturamento'!A:C,2,FALSE),0)</f>
        <v>0</v>
      </c>
      <c r="N69" s="8">
        <f>IFERROR(VLOOKUP(G69,'Base de faturamento'!A:C,3,FALSE),0)</f>
        <v>0</v>
      </c>
      <c r="O69" s="8">
        <f t="shared" si="4"/>
        <v>15</v>
      </c>
      <c r="P69" s="9" t="b">
        <f t="shared" si="5"/>
        <v>0</v>
      </c>
    </row>
    <row r="70" spans="1:16" ht="15" x14ac:dyDescent="0.25">
      <c r="A70" s="2" t="s">
        <v>96</v>
      </c>
      <c r="B70" s="2" t="s">
        <v>17</v>
      </c>
      <c r="C70" s="3" t="str">
        <f>VLOOKUP(B70,Dados!$A$3:$B$10,2,FALSE)</f>
        <v>Time 3</v>
      </c>
      <c r="D70" s="2" t="s">
        <v>18</v>
      </c>
      <c r="E70" s="2" t="s">
        <v>19</v>
      </c>
      <c r="F70" s="4">
        <v>33755742473</v>
      </c>
      <c r="G70" s="5" t="str">
        <f t="shared" si="0"/>
        <v>33755742473</v>
      </c>
      <c r="H70" s="6">
        <v>1095</v>
      </c>
      <c r="I70" s="6">
        <v>0</v>
      </c>
      <c r="J70" s="7">
        <f t="shared" si="1"/>
        <v>1095</v>
      </c>
      <c r="K70" s="7">
        <f t="shared" si="2"/>
        <v>219</v>
      </c>
      <c r="L70" s="7">
        <f t="shared" si="3"/>
        <v>1</v>
      </c>
      <c r="M70" s="7">
        <f>IFERROR(VLOOKUP(G70,'Base de faturamento'!A:C,2,FALSE),0)</f>
        <v>1095</v>
      </c>
      <c r="N70" s="8">
        <f>IFERROR(VLOOKUP(G70,'Base de faturamento'!A:C,3,FALSE),0)</f>
        <v>44699</v>
      </c>
      <c r="O70" s="8">
        <f t="shared" si="4"/>
        <v>44713</v>
      </c>
      <c r="P70" s="8">
        <f t="shared" si="5"/>
        <v>44713</v>
      </c>
    </row>
    <row r="71" spans="1:16" ht="15" x14ac:dyDescent="0.25">
      <c r="A71" s="2" t="s">
        <v>97</v>
      </c>
      <c r="B71" s="2" t="s">
        <v>24</v>
      </c>
      <c r="C71" s="3" t="str">
        <f>VLOOKUP(B71,Dados!$A$3:$B$10,2,FALSE)</f>
        <v>Time 2</v>
      </c>
      <c r="D71" s="2" t="s">
        <v>22</v>
      </c>
      <c r="E71" s="2" t="s">
        <v>19</v>
      </c>
      <c r="F71" s="4">
        <v>33864434758</v>
      </c>
      <c r="G71" s="5" t="str">
        <f t="shared" si="0"/>
        <v>33864434758</v>
      </c>
      <c r="H71" s="6">
        <v>5147</v>
      </c>
      <c r="I71" s="6">
        <v>0</v>
      </c>
      <c r="J71" s="7">
        <f t="shared" si="1"/>
        <v>5147</v>
      </c>
      <c r="K71" s="7">
        <f t="shared" si="2"/>
        <v>1544.1</v>
      </c>
      <c r="L71" s="7">
        <f t="shared" si="3"/>
        <v>1</v>
      </c>
      <c r="M71" s="7">
        <f>IFERROR(VLOOKUP(G71,'Base de faturamento'!A:C,2,FALSE),0)</f>
        <v>5147</v>
      </c>
      <c r="N71" s="8">
        <f>IFERROR(VLOOKUP(G71,'Base de faturamento'!A:C,3,FALSE),0)</f>
        <v>44671</v>
      </c>
      <c r="O71" s="8">
        <f t="shared" si="4"/>
        <v>44682</v>
      </c>
      <c r="P71" s="8">
        <f t="shared" si="5"/>
        <v>44682</v>
      </c>
    </row>
    <row r="72" spans="1:16" ht="15" x14ac:dyDescent="0.25">
      <c r="A72" s="2" t="s">
        <v>98</v>
      </c>
      <c r="B72" s="2" t="s">
        <v>29</v>
      </c>
      <c r="C72" s="3" t="str">
        <f>VLOOKUP(B72,Dados!$A$3:$B$10,2,FALSE)</f>
        <v>Time 2</v>
      </c>
      <c r="D72" s="2" t="s">
        <v>18</v>
      </c>
      <c r="E72" s="2" t="s">
        <v>25</v>
      </c>
      <c r="F72" s="4">
        <v>34075665236</v>
      </c>
      <c r="G72" s="5" t="str">
        <f t="shared" si="0"/>
        <v>34075665236</v>
      </c>
      <c r="H72" s="6">
        <v>2306</v>
      </c>
      <c r="I72" s="6">
        <v>5911</v>
      </c>
      <c r="J72" s="7">
        <f t="shared" si="1"/>
        <v>0</v>
      </c>
      <c r="K72" s="7">
        <f t="shared" si="2"/>
        <v>0</v>
      </c>
      <c r="L72" s="7">
        <f t="shared" si="3"/>
        <v>1</v>
      </c>
      <c r="M72" s="7">
        <f>IFERROR(VLOOKUP(G72,'Base de faturamento'!A:C,2,FALSE),0)</f>
        <v>2306</v>
      </c>
      <c r="N72" s="8">
        <f>IFERROR(VLOOKUP(G72,'Base de faturamento'!A:C,3,FALSE),0)</f>
        <v>44689</v>
      </c>
      <c r="O72" s="8">
        <f t="shared" si="4"/>
        <v>44713</v>
      </c>
      <c r="P72" s="8">
        <f t="shared" si="5"/>
        <v>44713</v>
      </c>
    </row>
    <row r="73" spans="1:16" ht="15" x14ac:dyDescent="0.25">
      <c r="A73" s="2" t="s">
        <v>99</v>
      </c>
      <c r="B73" s="2" t="s">
        <v>27</v>
      </c>
      <c r="C73" s="3" t="str">
        <f>VLOOKUP(B73,Dados!$A$3:$B$10,2,FALSE)</f>
        <v>Time 2</v>
      </c>
      <c r="D73" s="2" t="s">
        <v>22</v>
      </c>
      <c r="E73" s="2" t="s">
        <v>25</v>
      </c>
      <c r="F73" s="4">
        <v>34321267262</v>
      </c>
      <c r="G73" s="5" t="str">
        <f t="shared" si="0"/>
        <v>34321267262</v>
      </c>
      <c r="H73" s="6">
        <v>2159</v>
      </c>
      <c r="I73" s="6">
        <v>8912</v>
      </c>
      <c r="J73" s="7">
        <f t="shared" si="1"/>
        <v>0</v>
      </c>
      <c r="K73" s="7">
        <f t="shared" si="2"/>
        <v>0</v>
      </c>
      <c r="L73" s="7">
        <f t="shared" si="3"/>
        <v>1</v>
      </c>
      <c r="M73" s="7">
        <f>IFERROR(VLOOKUP(G73,'Base de faturamento'!A:C,2,FALSE),0)</f>
        <v>2159</v>
      </c>
      <c r="N73" s="8">
        <f>IFERROR(VLOOKUP(G73,'Base de faturamento'!A:C,3,FALSE),0)</f>
        <v>44721</v>
      </c>
      <c r="O73" s="8">
        <f t="shared" si="4"/>
        <v>44743</v>
      </c>
      <c r="P73" s="8">
        <f t="shared" si="5"/>
        <v>44743</v>
      </c>
    </row>
    <row r="74" spans="1:16" ht="15" x14ac:dyDescent="0.25">
      <c r="A74" s="2" t="s">
        <v>100</v>
      </c>
      <c r="B74" s="2" t="s">
        <v>29</v>
      </c>
      <c r="C74" s="3" t="str">
        <f>VLOOKUP(B74,Dados!$A$3:$B$10,2,FALSE)</f>
        <v>Time 2</v>
      </c>
      <c r="D74" s="2" t="s">
        <v>22</v>
      </c>
      <c r="E74" s="2" t="s">
        <v>19</v>
      </c>
      <c r="F74" s="4">
        <v>34533972950</v>
      </c>
      <c r="G74" s="5" t="str">
        <f t="shared" si="0"/>
        <v>34533972950</v>
      </c>
      <c r="H74" s="6">
        <v>7297</v>
      </c>
      <c r="I74" s="6">
        <v>0</v>
      </c>
      <c r="J74" s="7">
        <f t="shared" si="1"/>
        <v>7297</v>
      </c>
      <c r="K74" s="7">
        <f t="shared" si="2"/>
        <v>2189.1</v>
      </c>
      <c r="L74" s="7">
        <f t="shared" si="3"/>
        <v>1</v>
      </c>
      <c r="M74" s="7">
        <f>IFERROR(VLOOKUP(G74,'Base de faturamento'!A:C,2,FALSE),0)</f>
        <v>7297</v>
      </c>
      <c r="N74" s="8">
        <f>IFERROR(VLOOKUP(G74,'Base de faturamento'!A:C,3,FALSE),0)</f>
        <v>44711</v>
      </c>
      <c r="O74" s="8">
        <f t="shared" si="4"/>
        <v>44713</v>
      </c>
      <c r="P74" s="8">
        <f t="shared" si="5"/>
        <v>44713</v>
      </c>
    </row>
    <row r="75" spans="1:16" ht="15" x14ac:dyDescent="0.25">
      <c r="A75" s="2" t="s">
        <v>101</v>
      </c>
      <c r="B75" s="2" t="s">
        <v>36</v>
      </c>
      <c r="C75" s="3" t="str">
        <f>VLOOKUP(B75,Dados!$A$3:$B$10,2,FALSE)</f>
        <v>Time 1</v>
      </c>
      <c r="D75" s="2" t="s">
        <v>22</v>
      </c>
      <c r="E75" s="2" t="s">
        <v>25</v>
      </c>
      <c r="F75" s="4">
        <v>34843791204</v>
      </c>
      <c r="G75" s="5" t="str">
        <f t="shared" si="0"/>
        <v>34843791204</v>
      </c>
      <c r="H75" s="6">
        <v>8185</v>
      </c>
      <c r="I75" s="6">
        <v>6880</v>
      </c>
      <c r="J75" s="7">
        <f t="shared" si="1"/>
        <v>1305</v>
      </c>
      <c r="K75" s="7">
        <f t="shared" si="2"/>
        <v>391.5</v>
      </c>
      <c r="L75" s="7">
        <f t="shared" si="3"/>
        <v>1</v>
      </c>
      <c r="M75" s="7">
        <f>IFERROR(VLOOKUP(G75,'Base de faturamento'!A:C,2,FALSE),0)</f>
        <v>8185</v>
      </c>
      <c r="N75" s="8">
        <f>IFERROR(VLOOKUP(G75,'Base de faturamento'!A:C,3,FALSE),0)</f>
        <v>44626</v>
      </c>
      <c r="O75" s="8">
        <f t="shared" si="4"/>
        <v>44635</v>
      </c>
      <c r="P75" s="8">
        <f t="shared" si="5"/>
        <v>44652</v>
      </c>
    </row>
    <row r="76" spans="1:16" ht="15" x14ac:dyDescent="0.25">
      <c r="A76" s="2" t="s">
        <v>102</v>
      </c>
      <c r="B76" s="2" t="s">
        <v>21</v>
      </c>
      <c r="C76" s="3" t="str">
        <f>VLOOKUP(B76,Dados!$A$3:$B$10,2,FALSE)</f>
        <v>Time 1</v>
      </c>
      <c r="D76" s="2" t="s">
        <v>18</v>
      </c>
      <c r="E76" s="2" t="s">
        <v>19</v>
      </c>
      <c r="F76" s="4">
        <v>35102659602</v>
      </c>
      <c r="G76" s="5" t="str">
        <f t="shared" si="0"/>
        <v>35102659602</v>
      </c>
      <c r="H76" s="6">
        <v>2449</v>
      </c>
      <c r="I76" s="6">
        <v>0</v>
      </c>
      <c r="J76" s="7">
        <f t="shared" si="1"/>
        <v>2449</v>
      </c>
      <c r="K76" s="7">
        <f t="shared" si="2"/>
        <v>489.8</v>
      </c>
      <c r="L76" s="7">
        <f t="shared" si="3"/>
        <v>1</v>
      </c>
      <c r="M76" s="7">
        <f>IFERROR(VLOOKUP(G76,'Base de faturamento'!A:C,2,FALSE),0)</f>
        <v>2449</v>
      </c>
      <c r="N76" s="8">
        <f>IFERROR(VLOOKUP(G76,'Base de faturamento'!A:C,3,FALSE),0)</f>
        <v>44735</v>
      </c>
      <c r="O76" s="8">
        <f t="shared" si="4"/>
        <v>44727</v>
      </c>
      <c r="P76" s="8">
        <f t="shared" si="5"/>
        <v>44743</v>
      </c>
    </row>
    <row r="77" spans="1:16" ht="15" x14ac:dyDescent="0.25">
      <c r="A77" s="2" t="s">
        <v>103</v>
      </c>
      <c r="B77" s="2" t="s">
        <v>33</v>
      </c>
      <c r="C77" s="3" t="str">
        <f>VLOOKUP(B77,Dados!$A$3:$B$10,2,FALSE)</f>
        <v>Time 1</v>
      </c>
      <c r="D77" s="2" t="s">
        <v>22</v>
      </c>
      <c r="E77" s="2" t="s">
        <v>19</v>
      </c>
      <c r="F77" s="4">
        <v>35241468001</v>
      </c>
      <c r="G77" s="5" t="str">
        <f t="shared" si="0"/>
        <v>35241468001</v>
      </c>
      <c r="H77" s="6">
        <v>7278</v>
      </c>
      <c r="I77" s="6">
        <v>0</v>
      </c>
      <c r="J77" s="7">
        <f t="shared" si="1"/>
        <v>7278</v>
      </c>
      <c r="K77" s="7">
        <f t="shared" si="2"/>
        <v>2183.4</v>
      </c>
      <c r="L77" s="7">
        <f t="shared" si="3"/>
        <v>1</v>
      </c>
      <c r="M77" s="7">
        <f>IFERROR(VLOOKUP(G77,'Base de faturamento'!A:C,2,FALSE),0)</f>
        <v>7278</v>
      </c>
      <c r="N77" s="8">
        <f>IFERROR(VLOOKUP(G77,'Base de faturamento'!A:C,3,FALSE),0)</f>
        <v>44721</v>
      </c>
      <c r="O77" s="8">
        <f t="shared" si="4"/>
        <v>44727</v>
      </c>
      <c r="P77" s="8">
        <f t="shared" si="5"/>
        <v>44743</v>
      </c>
    </row>
    <row r="78" spans="1:16" ht="15" x14ac:dyDescent="0.25">
      <c r="A78" s="2" t="s">
        <v>104</v>
      </c>
      <c r="B78" s="2" t="s">
        <v>29</v>
      </c>
      <c r="C78" s="3" t="str">
        <f>VLOOKUP(B78,Dados!$A$3:$B$10,2,FALSE)</f>
        <v>Time 2</v>
      </c>
      <c r="D78" s="2" t="s">
        <v>18</v>
      </c>
      <c r="E78" s="2" t="s">
        <v>25</v>
      </c>
      <c r="F78" s="4">
        <v>35642197653</v>
      </c>
      <c r="G78" s="5" t="str">
        <f t="shared" si="0"/>
        <v>35642197653</v>
      </c>
      <c r="H78" s="6">
        <v>9531</v>
      </c>
      <c r="I78" s="6">
        <v>2082</v>
      </c>
      <c r="J78" s="7">
        <f t="shared" si="1"/>
        <v>7449</v>
      </c>
      <c r="K78" s="7">
        <f t="shared" si="2"/>
        <v>1489.8000000000002</v>
      </c>
      <c r="L78" s="7">
        <f t="shared" si="3"/>
        <v>1</v>
      </c>
      <c r="M78" s="7">
        <f>IFERROR(VLOOKUP(G78,'Base de faturamento'!A:C,2,FALSE),0)</f>
        <v>9531</v>
      </c>
      <c r="N78" s="8">
        <f>IFERROR(VLOOKUP(G78,'Base de faturamento'!A:C,3,FALSE),0)</f>
        <v>44666</v>
      </c>
      <c r="O78" s="8">
        <f t="shared" si="4"/>
        <v>44682</v>
      </c>
      <c r="P78" s="8">
        <f t="shared" si="5"/>
        <v>44682</v>
      </c>
    </row>
    <row r="79" spans="1:16" ht="15" x14ac:dyDescent="0.25">
      <c r="A79" s="2" t="s">
        <v>105</v>
      </c>
      <c r="B79" s="2" t="s">
        <v>29</v>
      </c>
      <c r="C79" s="3" t="str">
        <f>VLOOKUP(B79,Dados!$A$3:$B$10,2,FALSE)</f>
        <v>Time 2</v>
      </c>
      <c r="D79" s="2" t="s">
        <v>22</v>
      </c>
      <c r="E79" s="2" t="s">
        <v>19</v>
      </c>
      <c r="F79" s="4">
        <v>35644982201</v>
      </c>
      <c r="G79" s="5" t="str">
        <f t="shared" si="0"/>
        <v>35644982201</v>
      </c>
      <c r="H79" s="6">
        <v>3065</v>
      </c>
      <c r="I79" s="6">
        <v>0</v>
      </c>
      <c r="J79" s="7">
        <f t="shared" si="1"/>
        <v>3065</v>
      </c>
      <c r="K79" s="7">
        <f t="shared" si="2"/>
        <v>919.5</v>
      </c>
      <c r="L79" s="7">
        <f t="shared" si="3"/>
        <v>1</v>
      </c>
      <c r="M79" s="7">
        <f>IFERROR(VLOOKUP(G79,'Base de faturamento'!A:C,2,FALSE),0)</f>
        <v>3065</v>
      </c>
      <c r="N79" s="8">
        <f>IFERROR(VLOOKUP(G79,'Base de faturamento'!A:C,3,FALSE),0)</f>
        <v>44647</v>
      </c>
      <c r="O79" s="8">
        <f t="shared" si="4"/>
        <v>44652</v>
      </c>
      <c r="P79" s="8">
        <f t="shared" si="5"/>
        <v>44652</v>
      </c>
    </row>
    <row r="80" spans="1:16" ht="15" x14ac:dyDescent="0.25">
      <c r="A80" s="2" t="s">
        <v>106</v>
      </c>
      <c r="B80" s="2" t="s">
        <v>27</v>
      </c>
      <c r="C80" s="3" t="str">
        <f>VLOOKUP(B80,Dados!$A$3:$B$10,2,FALSE)</f>
        <v>Time 2</v>
      </c>
      <c r="D80" s="2" t="s">
        <v>22</v>
      </c>
      <c r="E80" s="2" t="s">
        <v>19</v>
      </c>
      <c r="F80" s="4">
        <v>35905882520</v>
      </c>
      <c r="G80" s="5" t="str">
        <f t="shared" si="0"/>
        <v>35905882520</v>
      </c>
      <c r="H80" s="6">
        <v>9025</v>
      </c>
      <c r="I80" s="6">
        <v>0</v>
      </c>
      <c r="J80" s="7">
        <f t="shared" si="1"/>
        <v>9025</v>
      </c>
      <c r="K80" s="7">
        <f t="shared" si="2"/>
        <v>2707.5</v>
      </c>
      <c r="L80" s="7">
        <f t="shared" si="3"/>
        <v>1</v>
      </c>
      <c r="M80" s="7">
        <f>IFERROR(VLOOKUP(G80,'Base de faturamento'!A:C,2,FALSE),0)</f>
        <v>9025</v>
      </c>
      <c r="N80" s="8">
        <f>IFERROR(VLOOKUP(G80,'Base de faturamento'!A:C,3,FALSE),0)</f>
        <v>44670</v>
      </c>
      <c r="O80" s="8">
        <f t="shared" si="4"/>
        <v>44682</v>
      </c>
      <c r="P80" s="8">
        <f t="shared" si="5"/>
        <v>44682</v>
      </c>
    </row>
    <row r="81" spans="1:16" ht="15" x14ac:dyDescent="0.25">
      <c r="A81" s="2" t="s">
        <v>107</v>
      </c>
      <c r="B81" s="2" t="s">
        <v>31</v>
      </c>
      <c r="C81" s="3" t="str">
        <f>VLOOKUP(B81,Dados!$A$3:$B$10,2,FALSE)</f>
        <v>Time 3</v>
      </c>
      <c r="D81" s="2" t="s">
        <v>22</v>
      </c>
      <c r="E81" s="2" t="s">
        <v>19</v>
      </c>
      <c r="F81" s="4">
        <v>36354848379</v>
      </c>
      <c r="G81" s="5" t="str">
        <f t="shared" si="0"/>
        <v>36354848379</v>
      </c>
      <c r="H81" s="6">
        <v>3128</v>
      </c>
      <c r="I81" s="6">
        <v>0</v>
      </c>
      <c r="J81" s="7">
        <f t="shared" si="1"/>
        <v>3128</v>
      </c>
      <c r="K81" s="7">
        <f t="shared" si="2"/>
        <v>938.4</v>
      </c>
      <c r="L81" s="7">
        <f t="shared" si="3"/>
        <v>1</v>
      </c>
      <c r="M81" s="7">
        <f>IFERROR(VLOOKUP(G81,'Base de faturamento'!A:C,2,FALSE),0)</f>
        <v>3128</v>
      </c>
      <c r="N81" s="8">
        <f>IFERROR(VLOOKUP(G81,'Base de faturamento'!A:C,3,FALSE),0)</f>
        <v>44708</v>
      </c>
      <c r="O81" s="8">
        <f t="shared" si="4"/>
        <v>44713</v>
      </c>
      <c r="P81" s="8">
        <f t="shared" si="5"/>
        <v>44713</v>
      </c>
    </row>
    <row r="82" spans="1:16" ht="15" x14ac:dyDescent="0.25">
      <c r="A82" s="2" t="s">
        <v>108</v>
      </c>
      <c r="B82" s="2" t="s">
        <v>31</v>
      </c>
      <c r="C82" s="3" t="str">
        <f>VLOOKUP(B82,Dados!$A$3:$B$10,2,FALSE)</f>
        <v>Time 3</v>
      </c>
      <c r="D82" s="2" t="s">
        <v>18</v>
      </c>
      <c r="E82" s="2" t="s">
        <v>19</v>
      </c>
      <c r="F82" s="4">
        <v>36881304437</v>
      </c>
      <c r="G82" s="5" t="str">
        <f t="shared" si="0"/>
        <v>36881304437</v>
      </c>
      <c r="H82" s="6">
        <v>8389</v>
      </c>
      <c r="I82" s="6">
        <v>0</v>
      </c>
      <c r="J82" s="7">
        <f t="shared" si="1"/>
        <v>8389</v>
      </c>
      <c r="K82" s="7">
        <f t="shared" si="2"/>
        <v>1677.8000000000002</v>
      </c>
      <c r="L82" s="7">
        <f t="shared" si="3"/>
        <v>1</v>
      </c>
      <c r="M82" s="7">
        <f>IFERROR(VLOOKUP(G82,'Base de faturamento'!A:C,2,FALSE),0)</f>
        <v>8389</v>
      </c>
      <c r="N82" s="8">
        <f>IFERROR(VLOOKUP(G82,'Base de faturamento'!A:C,3,FALSE),0)</f>
        <v>44641</v>
      </c>
      <c r="O82" s="8">
        <f t="shared" si="4"/>
        <v>44652</v>
      </c>
      <c r="P82" s="8">
        <f t="shared" si="5"/>
        <v>44652</v>
      </c>
    </row>
    <row r="83" spans="1:16" ht="15" x14ac:dyDescent="0.25">
      <c r="A83" s="2" t="s">
        <v>109</v>
      </c>
      <c r="B83" s="2" t="s">
        <v>36</v>
      </c>
      <c r="C83" s="3" t="str">
        <f>VLOOKUP(B83,Dados!$A$3:$B$10,2,FALSE)</f>
        <v>Time 1</v>
      </c>
      <c r="D83" s="2" t="s">
        <v>18</v>
      </c>
      <c r="E83" s="2" t="s">
        <v>25</v>
      </c>
      <c r="F83" s="4">
        <v>36921316304</v>
      </c>
      <c r="G83" s="5" t="str">
        <f t="shared" si="0"/>
        <v>36921316304</v>
      </c>
      <c r="H83" s="6">
        <v>8544</v>
      </c>
      <c r="I83" s="6">
        <v>1243</v>
      </c>
      <c r="J83" s="7">
        <f t="shared" si="1"/>
        <v>7301</v>
      </c>
      <c r="K83" s="7">
        <f t="shared" si="2"/>
        <v>1460.2</v>
      </c>
      <c r="L83" s="7">
        <f t="shared" si="3"/>
        <v>1</v>
      </c>
      <c r="M83" s="7">
        <f>IFERROR(VLOOKUP(G83,'Base de faturamento'!A:C,2,FALSE),0)</f>
        <v>8544</v>
      </c>
      <c r="N83" s="8">
        <f>IFERROR(VLOOKUP(G83,'Base de faturamento'!A:C,3,FALSE),0)</f>
        <v>44734</v>
      </c>
      <c r="O83" s="8">
        <f t="shared" si="4"/>
        <v>44727</v>
      </c>
      <c r="P83" s="8">
        <f t="shared" si="5"/>
        <v>44743</v>
      </c>
    </row>
    <row r="84" spans="1:16" ht="15" x14ac:dyDescent="0.25">
      <c r="A84" s="2" t="s">
        <v>110</v>
      </c>
      <c r="B84" s="2" t="s">
        <v>27</v>
      </c>
      <c r="C84" s="3" t="str">
        <f>VLOOKUP(B84,Dados!$A$3:$B$10,2,FALSE)</f>
        <v>Time 2</v>
      </c>
      <c r="D84" s="2" t="s">
        <v>18</v>
      </c>
      <c r="E84" s="2" t="s">
        <v>25</v>
      </c>
      <c r="F84" s="4">
        <v>37309369468</v>
      </c>
      <c r="G84" s="5" t="str">
        <f t="shared" si="0"/>
        <v>37309369468</v>
      </c>
      <c r="H84" s="6">
        <v>8787</v>
      </c>
      <c r="I84" s="6">
        <v>8968</v>
      </c>
      <c r="J84" s="7">
        <f t="shared" si="1"/>
        <v>0</v>
      </c>
      <c r="K84" s="7">
        <f t="shared" si="2"/>
        <v>0</v>
      </c>
      <c r="L84" s="7">
        <f t="shared" si="3"/>
        <v>1</v>
      </c>
      <c r="M84" s="7">
        <f>IFERROR(VLOOKUP(G84,'Base de faturamento'!A:C,2,FALSE),0)</f>
        <v>8787</v>
      </c>
      <c r="N84" s="8">
        <f>IFERROR(VLOOKUP(G84,'Base de faturamento'!A:C,3,FALSE),0)</f>
        <v>44676</v>
      </c>
      <c r="O84" s="8">
        <f t="shared" si="4"/>
        <v>44682</v>
      </c>
      <c r="P84" s="8">
        <f t="shared" si="5"/>
        <v>44682</v>
      </c>
    </row>
    <row r="85" spans="1:16" ht="15" x14ac:dyDescent="0.25">
      <c r="A85" s="2" t="s">
        <v>111</v>
      </c>
      <c r="B85" s="2" t="s">
        <v>17</v>
      </c>
      <c r="C85" s="3" t="str">
        <f>VLOOKUP(B85,Dados!$A$3:$B$10,2,FALSE)</f>
        <v>Time 3</v>
      </c>
      <c r="D85" s="2" t="s">
        <v>18</v>
      </c>
      <c r="E85" s="2" t="s">
        <v>25</v>
      </c>
      <c r="F85" s="4">
        <v>37897594549</v>
      </c>
      <c r="G85" s="5" t="str">
        <f t="shared" si="0"/>
        <v>37897594549</v>
      </c>
      <c r="H85" s="6">
        <v>6329</v>
      </c>
      <c r="I85" s="6">
        <v>4163</v>
      </c>
      <c r="J85" s="7">
        <f t="shared" si="1"/>
        <v>2166</v>
      </c>
      <c r="K85" s="7">
        <f t="shared" si="2"/>
        <v>433.20000000000005</v>
      </c>
      <c r="L85" s="7">
        <f t="shared" si="3"/>
        <v>1</v>
      </c>
      <c r="M85" s="7">
        <f>IFERROR(VLOOKUP(G85,'Base de faturamento'!A:C,2,FALSE),0)</f>
        <v>6329</v>
      </c>
      <c r="N85" s="8">
        <f>IFERROR(VLOOKUP(G85,'Base de faturamento'!A:C,3,FALSE),0)</f>
        <v>44694</v>
      </c>
      <c r="O85" s="8">
        <f t="shared" si="4"/>
        <v>44713</v>
      </c>
      <c r="P85" s="8">
        <f t="shared" si="5"/>
        <v>44713</v>
      </c>
    </row>
    <row r="86" spans="1:16" ht="15" x14ac:dyDescent="0.25">
      <c r="A86" s="2" t="s">
        <v>112</v>
      </c>
      <c r="B86" s="2" t="s">
        <v>27</v>
      </c>
      <c r="C86" s="3" t="str">
        <f>VLOOKUP(B86,Dados!$A$3:$B$10,2,FALSE)</f>
        <v>Time 2</v>
      </c>
      <c r="D86" s="2" t="s">
        <v>18</v>
      </c>
      <c r="E86" s="2" t="s">
        <v>19</v>
      </c>
      <c r="F86" s="4">
        <v>38245061659</v>
      </c>
      <c r="G86" s="5" t="str">
        <f t="shared" si="0"/>
        <v>38245061659</v>
      </c>
      <c r="H86" s="6">
        <v>1800</v>
      </c>
      <c r="I86" s="6">
        <v>0</v>
      </c>
      <c r="J86" s="7">
        <f t="shared" si="1"/>
        <v>1800</v>
      </c>
      <c r="K86" s="7">
        <f t="shared" si="2"/>
        <v>360</v>
      </c>
      <c r="L86" s="7">
        <f t="shared" si="3"/>
        <v>1</v>
      </c>
      <c r="M86" s="7">
        <f>IFERROR(VLOOKUP(G86,'Base de faturamento'!A:C,2,FALSE),0)</f>
        <v>1800</v>
      </c>
      <c r="N86" s="8">
        <f>IFERROR(VLOOKUP(G86,'Base de faturamento'!A:C,3,FALSE),0)</f>
        <v>44718</v>
      </c>
      <c r="O86" s="8">
        <f t="shared" si="4"/>
        <v>44743</v>
      </c>
      <c r="P86" s="8">
        <f t="shared" si="5"/>
        <v>44743</v>
      </c>
    </row>
    <row r="87" spans="1:16" ht="15" x14ac:dyDescent="0.25">
      <c r="A87" s="2" t="s">
        <v>113</v>
      </c>
      <c r="B87" s="2" t="s">
        <v>17</v>
      </c>
      <c r="C87" s="3" t="str">
        <f>VLOOKUP(B87,Dados!$A$3:$B$10,2,FALSE)</f>
        <v>Time 3</v>
      </c>
      <c r="D87" s="2" t="s">
        <v>22</v>
      </c>
      <c r="E87" s="2" t="s">
        <v>19</v>
      </c>
      <c r="F87" s="4">
        <v>38276640603</v>
      </c>
      <c r="G87" s="5" t="str">
        <f t="shared" si="0"/>
        <v>38276640603</v>
      </c>
      <c r="H87" s="6">
        <v>8937</v>
      </c>
      <c r="I87" s="6">
        <v>0</v>
      </c>
      <c r="J87" s="7">
        <f t="shared" si="1"/>
        <v>8937</v>
      </c>
      <c r="K87" s="7">
        <f t="shared" si="2"/>
        <v>2681.1</v>
      </c>
      <c r="L87" s="7">
        <f t="shared" si="3"/>
        <v>1</v>
      </c>
      <c r="M87" s="7">
        <f>IFERROR(VLOOKUP(G87,'Base de faturamento'!A:C,2,FALSE),0)</f>
        <v>8937</v>
      </c>
      <c r="N87" s="8">
        <f>IFERROR(VLOOKUP(G87,'Base de faturamento'!A:C,3,FALSE),0)</f>
        <v>44640</v>
      </c>
      <c r="O87" s="8">
        <f t="shared" si="4"/>
        <v>44652</v>
      </c>
      <c r="P87" s="8">
        <f t="shared" si="5"/>
        <v>44652</v>
      </c>
    </row>
    <row r="88" spans="1:16" ht="15" x14ac:dyDescent="0.25">
      <c r="A88" s="2" t="s">
        <v>114</v>
      </c>
      <c r="B88" s="2" t="s">
        <v>36</v>
      </c>
      <c r="C88" s="3" t="str">
        <f>VLOOKUP(B88,Dados!$A$3:$B$10,2,FALSE)</f>
        <v>Time 1</v>
      </c>
      <c r="D88" s="2" t="s">
        <v>22</v>
      </c>
      <c r="E88" s="2" t="s">
        <v>25</v>
      </c>
      <c r="F88" s="4">
        <v>38621453271</v>
      </c>
      <c r="G88" s="5" t="str">
        <f t="shared" si="0"/>
        <v>38621453271</v>
      </c>
      <c r="H88" s="6">
        <v>9645</v>
      </c>
      <c r="I88" s="6">
        <v>5274</v>
      </c>
      <c r="J88" s="7">
        <f t="shared" si="1"/>
        <v>4371</v>
      </c>
      <c r="K88" s="7">
        <f t="shared" si="2"/>
        <v>1311.3</v>
      </c>
      <c r="L88" s="7">
        <f t="shared" si="3"/>
        <v>1</v>
      </c>
      <c r="M88" s="7">
        <f>IFERROR(VLOOKUP(G88,'Base de faturamento'!A:C,2,FALSE),0)</f>
        <v>9645</v>
      </c>
      <c r="N88" s="8">
        <f>IFERROR(VLOOKUP(G88,'Base de faturamento'!A:C,3,FALSE),0)</f>
        <v>44624</v>
      </c>
      <c r="O88" s="8">
        <f t="shared" si="4"/>
        <v>44635</v>
      </c>
      <c r="P88" s="8">
        <f t="shared" si="5"/>
        <v>44652</v>
      </c>
    </row>
    <row r="89" spans="1:16" ht="15" x14ac:dyDescent="0.25">
      <c r="A89" s="2" t="s">
        <v>115</v>
      </c>
      <c r="B89" s="2" t="s">
        <v>31</v>
      </c>
      <c r="C89" s="3" t="str">
        <f>VLOOKUP(B89,Dados!$A$3:$B$10,2,FALSE)</f>
        <v>Time 3</v>
      </c>
      <c r="D89" s="2" t="s">
        <v>22</v>
      </c>
      <c r="E89" s="2" t="s">
        <v>25</v>
      </c>
      <c r="F89" s="4">
        <v>39183927327</v>
      </c>
      <c r="G89" s="5" t="str">
        <f t="shared" si="0"/>
        <v>39183927327</v>
      </c>
      <c r="H89" s="6">
        <v>6643</v>
      </c>
      <c r="I89" s="6">
        <v>9234</v>
      </c>
      <c r="J89" s="7">
        <f t="shared" si="1"/>
        <v>0</v>
      </c>
      <c r="K89" s="7">
        <f t="shared" si="2"/>
        <v>0</v>
      </c>
      <c r="L89" s="7">
        <f t="shared" si="3"/>
        <v>1</v>
      </c>
      <c r="M89" s="7">
        <f>IFERROR(VLOOKUP(G89,'Base de faturamento'!A:C,2,FALSE),0)</f>
        <v>6643</v>
      </c>
      <c r="N89" s="8">
        <f>IFERROR(VLOOKUP(G89,'Base de faturamento'!A:C,3,FALSE),0)</f>
        <v>44731</v>
      </c>
      <c r="O89" s="8">
        <f t="shared" si="4"/>
        <v>44743</v>
      </c>
      <c r="P89" s="8">
        <f t="shared" si="5"/>
        <v>44743</v>
      </c>
    </row>
    <row r="90" spans="1:16" ht="15" x14ac:dyDescent="0.25">
      <c r="A90" s="2" t="s">
        <v>116</v>
      </c>
      <c r="B90" s="2" t="s">
        <v>24</v>
      </c>
      <c r="C90" s="3" t="str">
        <f>VLOOKUP(B90,Dados!$A$3:$B$10,2,FALSE)</f>
        <v>Time 2</v>
      </c>
      <c r="D90" s="2" t="s">
        <v>18</v>
      </c>
      <c r="E90" s="2" t="s">
        <v>25</v>
      </c>
      <c r="F90" s="4">
        <v>39597966962</v>
      </c>
      <c r="G90" s="5" t="str">
        <f t="shared" si="0"/>
        <v>39597966962</v>
      </c>
      <c r="H90" s="6">
        <v>1812</v>
      </c>
      <c r="I90" s="6">
        <v>4125</v>
      </c>
      <c r="J90" s="7">
        <f t="shared" si="1"/>
        <v>0</v>
      </c>
      <c r="K90" s="7">
        <f t="shared" si="2"/>
        <v>0</v>
      </c>
      <c r="L90" s="7">
        <f t="shared" si="3"/>
        <v>1</v>
      </c>
      <c r="M90" s="7">
        <f>IFERROR(VLOOKUP(G90,'Base de faturamento'!A:C,2,FALSE),0)</f>
        <v>1812</v>
      </c>
      <c r="N90" s="8">
        <f>IFERROR(VLOOKUP(G90,'Base de faturamento'!A:C,3,FALSE),0)</f>
        <v>44640</v>
      </c>
      <c r="O90" s="8">
        <f t="shared" si="4"/>
        <v>44652</v>
      </c>
      <c r="P90" s="8">
        <f t="shared" si="5"/>
        <v>44652</v>
      </c>
    </row>
    <row r="91" spans="1:16" ht="15" x14ac:dyDescent="0.25">
      <c r="A91" s="2" t="s">
        <v>117</v>
      </c>
      <c r="B91" s="2" t="s">
        <v>17</v>
      </c>
      <c r="C91" s="3" t="str">
        <f>VLOOKUP(B91,Dados!$A$3:$B$10,2,FALSE)</f>
        <v>Time 3</v>
      </c>
      <c r="D91" s="2" t="s">
        <v>18</v>
      </c>
      <c r="E91" s="2" t="s">
        <v>19</v>
      </c>
      <c r="F91" s="4">
        <v>39601350564</v>
      </c>
      <c r="G91" s="5" t="str">
        <f t="shared" si="0"/>
        <v>39601350564</v>
      </c>
      <c r="H91" s="6">
        <v>9768</v>
      </c>
      <c r="I91" s="6">
        <v>0</v>
      </c>
      <c r="J91" s="7">
        <f t="shared" si="1"/>
        <v>9768</v>
      </c>
      <c r="K91" s="7">
        <f t="shared" si="2"/>
        <v>1953.6000000000001</v>
      </c>
      <c r="L91" s="7">
        <f t="shared" si="3"/>
        <v>1</v>
      </c>
      <c r="M91" s="7">
        <f>IFERROR(VLOOKUP(G91,'Base de faturamento'!A:C,2,FALSE),0)</f>
        <v>9768</v>
      </c>
      <c r="N91" s="8">
        <f>IFERROR(VLOOKUP(G91,'Base de faturamento'!A:C,3,FALSE),0)</f>
        <v>44718</v>
      </c>
      <c r="O91" s="8">
        <f t="shared" si="4"/>
        <v>44743</v>
      </c>
      <c r="P91" s="8">
        <f t="shared" si="5"/>
        <v>44743</v>
      </c>
    </row>
    <row r="92" spans="1:16" ht="15" x14ac:dyDescent="0.25">
      <c r="A92" s="2" t="s">
        <v>118</v>
      </c>
      <c r="B92" s="2" t="s">
        <v>29</v>
      </c>
      <c r="C92" s="3" t="str">
        <f>VLOOKUP(B92,Dados!$A$3:$B$10,2,FALSE)</f>
        <v>Time 2</v>
      </c>
      <c r="D92" s="2" t="s">
        <v>18</v>
      </c>
      <c r="E92" s="2" t="s">
        <v>19</v>
      </c>
      <c r="F92" s="4">
        <v>40096979066</v>
      </c>
      <c r="G92" s="5" t="str">
        <f t="shared" si="0"/>
        <v>40096979066</v>
      </c>
      <c r="H92" s="6">
        <v>6017</v>
      </c>
      <c r="I92" s="6">
        <v>0</v>
      </c>
      <c r="J92" s="7">
        <f t="shared" si="1"/>
        <v>6017</v>
      </c>
      <c r="K92" s="7">
        <f t="shared" si="2"/>
        <v>1203.4000000000001</v>
      </c>
      <c r="L92" s="7">
        <f t="shared" si="3"/>
        <v>1</v>
      </c>
      <c r="M92" s="7">
        <f>IFERROR(VLOOKUP(G92,'Base de faturamento'!A:C,2,FALSE),0)</f>
        <v>6017</v>
      </c>
      <c r="N92" s="8">
        <f>IFERROR(VLOOKUP(G92,'Base de faturamento'!A:C,3,FALSE),0)</f>
        <v>44622</v>
      </c>
      <c r="O92" s="8">
        <f t="shared" si="4"/>
        <v>44652</v>
      </c>
      <c r="P92" s="8">
        <f t="shared" si="5"/>
        <v>44652</v>
      </c>
    </row>
    <row r="93" spans="1:16" ht="15" x14ac:dyDescent="0.25">
      <c r="A93" s="2" t="s">
        <v>119</v>
      </c>
      <c r="B93" s="2" t="s">
        <v>33</v>
      </c>
      <c r="C93" s="3" t="str">
        <f>VLOOKUP(B93,Dados!$A$3:$B$10,2,FALSE)</f>
        <v>Time 1</v>
      </c>
      <c r="D93" s="2" t="s">
        <v>22</v>
      </c>
      <c r="E93" s="2" t="s">
        <v>25</v>
      </c>
      <c r="F93" s="4">
        <v>40910882284</v>
      </c>
      <c r="G93" s="5" t="str">
        <f t="shared" si="0"/>
        <v>40910882284</v>
      </c>
      <c r="H93" s="6">
        <v>1846</v>
      </c>
      <c r="I93" s="6">
        <v>3271</v>
      </c>
      <c r="J93" s="7">
        <f t="shared" si="1"/>
        <v>0</v>
      </c>
      <c r="K93" s="7">
        <f t="shared" si="2"/>
        <v>0</v>
      </c>
      <c r="L93" s="7">
        <f t="shared" si="3"/>
        <v>1</v>
      </c>
      <c r="M93" s="7">
        <f>IFERROR(VLOOKUP(G93,'Base de faturamento'!A:C,2,FALSE),0)</f>
        <v>1846</v>
      </c>
      <c r="N93" s="8">
        <f>IFERROR(VLOOKUP(G93,'Base de faturamento'!A:C,3,FALSE),0)</f>
        <v>44695</v>
      </c>
      <c r="O93" s="8">
        <f t="shared" si="4"/>
        <v>44696</v>
      </c>
      <c r="P93" s="8">
        <f t="shared" si="5"/>
        <v>44713</v>
      </c>
    </row>
    <row r="94" spans="1:16" ht="15" x14ac:dyDescent="0.25">
      <c r="A94" s="2" t="s">
        <v>120</v>
      </c>
      <c r="B94" s="2" t="s">
        <v>36</v>
      </c>
      <c r="C94" s="3" t="str">
        <f>VLOOKUP(B94,Dados!$A$3:$B$10,2,FALSE)</f>
        <v>Time 1</v>
      </c>
      <c r="D94" s="2" t="s">
        <v>18</v>
      </c>
      <c r="E94" s="2" t="s">
        <v>25</v>
      </c>
      <c r="F94" s="4">
        <v>40987840691</v>
      </c>
      <c r="G94" s="5" t="str">
        <f t="shared" si="0"/>
        <v>40987840691</v>
      </c>
      <c r="H94" s="6">
        <v>5894</v>
      </c>
      <c r="I94" s="6">
        <v>7609</v>
      </c>
      <c r="J94" s="7">
        <f t="shared" si="1"/>
        <v>0</v>
      </c>
      <c r="K94" s="7">
        <f t="shared" si="2"/>
        <v>0</v>
      </c>
      <c r="L94" s="7">
        <f t="shared" si="3"/>
        <v>1</v>
      </c>
      <c r="M94" s="7">
        <f>IFERROR(VLOOKUP(G94,'Base de faturamento'!A:C,2,FALSE),0)</f>
        <v>5894</v>
      </c>
      <c r="N94" s="8">
        <f>IFERROR(VLOOKUP(G94,'Base de faturamento'!A:C,3,FALSE),0)</f>
        <v>44646</v>
      </c>
      <c r="O94" s="8">
        <f t="shared" si="4"/>
        <v>44635</v>
      </c>
      <c r="P94" s="8">
        <f t="shared" si="5"/>
        <v>44652</v>
      </c>
    </row>
    <row r="95" spans="1:16" ht="15" x14ac:dyDescent="0.25">
      <c r="A95" s="2" t="s">
        <v>121</v>
      </c>
      <c r="B95" s="2" t="s">
        <v>24</v>
      </c>
      <c r="C95" s="3" t="str">
        <f>VLOOKUP(B95,Dados!$A$3:$B$10,2,FALSE)</f>
        <v>Time 2</v>
      </c>
      <c r="D95" s="2" t="s">
        <v>22</v>
      </c>
      <c r="E95" s="2" t="s">
        <v>25</v>
      </c>
      <c r="F95" s="4">
        <v>41185416771</v>
      </c>
      <c r="G95" s="5" t="str">
        <f t="shared" si="0"/>
        <v>41185416771</v>
      </c>
      <c r="H95" s="6">
        <v>6712</v>
      </c>
      <c r="I95" s="6">
        <v>3167</v>
      </c>
      <c r="J95" s="7">
        <f t="shared" si="1"/>
        <v>3545</v>
      </c>
      <c r="K95" s="7">
        <f t="shared" si="2"/>
        <v>1063.5</v>
      </c>
      <c r="L95" s="7">
        <f t="shared" si="3"/>
        <v>1</v>
      </c>
      <c r="M95" s="7">
        <f>IFERROR(VLOOKUP(G95,'Base de faturamento'!A:C,2,FALSE),0)</f>
        <v>6712</v>
      </c>
      <c r="N95" s="8">
        <f>IFERROR(VLOOKUP(G95,'Base de faturamento'!A:C,3,FALSE),0)</f>
        <v>44661</v>
      </c>
      <c r="O95" s="8">
        <f t="shared" si="4"/>
        <v>44682</v>
      </c>
      <c r="P95" s="8">
        <f t="shared" si="5"/>
        <v>44682</v>
      </c>
    </row>
    <row r="96" spans="1:16" ht="15" x14ac:dyDescent="0.25">
      <c r="A96" s="2" t="s">
        <v>122</v>
      </c>
      <c r="B96" s="2" t="s">
        <v>36</v>
      </c>
      <c r="C96" s="3" t="str">
        <f>VLOOKUP(B96,Dados!$A$3:$B$10,2,FALSE)</f>
        <v>Time 1</v>
      </c>
      <c r="D96" s="2" t="s">
        <v>22</v>
      </c>
      <c r="E96" s="2" t="s">
        <v>25</v>
      </c>
      <c r="F96" s="4">
        <v>41263358630</v>
      </c>
      <c r="G96" s="5" t="str">
        <f t="shared" si="0"/>
        <v>41263358630</v>
      </c>
      <c r="H96" s="6">
        <v>6390</v>
      </c>
      <c r="I96" s="6">
        <v>9648</v>
      </c>
      <c r="J96" s="7">
        <f t="shared" si="1"/>
        <v>0</v>
      </c>
      <c r="K96" s="7">
        <f t="shared" si="2"/>
        <v>0</v>
      </c>
      <c r="L96" s="7">
        <f t="shared" si="3"/>
        <v>1</v>
      </c>
      <c r="M96" s="7">
        <f>IFERROR(VLOOKUP(G96,'Base de faturamento'!A:C,2,FALSE),0)</f>
        <v>6390</v>
      </c>
      <c r="N96" s="8">
        <f>IFERROR(VLOOKUP(G96,'Base de faturamento'!A:C,3,FALSE),0)</f>
        <v>44724</v>
      </c>
      <c r="O96" s="8">
        <f t="shared" si="4"/>
        <v>44727</v>
      </c>
      <c r="P96" s="8">
        <f t="shared" si="5"/>
        <v>44743</v>
      </c>
    </row>
    <row r="97" spans="1:16" ht="15" x14ac:dyDescent="0.25">
      <c r="A97" s="2" t="s">
        <v>123</v>
      </c>
      <c r="B97" s="2" t="s">
        <v>27</v>
      </c>
      <c r="C97" s="3" t="str">
        <f>VLOOKUP(B97,Dados!$A$3:$B$10,2,FALSE)</f>
        <v>Time 2</v>
      </c>
      <c r="D97" s="2" t="s">
        <v>18</v>
      </c>
      <c r="E97" s="2" t="s">
        <v>25</v>
      </c>
      <c r="F97" s="4">
        <v>41517497984</v>
      </c>
      <c r="G97" s="5" t="str">
        <f t="shared" si="0"/>
        <v>41517497984</v>
      </c>
      <c r="H97" s="6">
        <v>4905</v>
      </c>
      <c r="I97" s="6">
        <v>4065</v>
      </c>
      <c r="J97" s="7">
        <f t="shared" si="1"/>
        <v>840</v>
      </c>
      <c r="K97" s="7">
        <f t="shared" si="2"/>
        <v>168</v>
      </c>
      <c r="L97" s="7">
        <f t="shared" si="3"/>
        <v>1</v>
      </c>
      <c r="M97" s="7">
        <f>IFERROR(VLOOKUP(G97,'Base de faturamento'!A:C,2,FALSE),0)</f>
        <v>4905</v>
      </c>
      <c r="N97" s="8">
        <f>IFERROR(VLOOKUP(G97,'Base de faturamento'!A:C,3,FALSE),0)</f>
        <v>44641</v>
      </c>
      <c r="O97" s="8">
        <f t="shared" si="4"/>
        <v>44652</v>
      </c>
      <c r="P97" s="8">
        <f t="shared" si="5"/>
        <v>44652</v>
      </c>
    </row>
    <row r="98" spans="1:16" ht="15" x14ac:dyDescent="0.25">
      <c r="A98" s="2" t="s">
        <v>124</v>
      </c>
      <c r="B98" s="2" t="s">
        <v>21</v>
      </c>
      <c r="C98" s="3" t="str">
        <f>VLOOKUP(B98,Dados!$A$3:$B$10,2,FALSE)</f>
        <v>Time 1</v>
      </c>
      <c r="D98" s="2" t="s">
        <v>22</v>
      </c>
      <c r="E98" s="2" t="s">
        <v>19</v>
      </c>
      <c r="F98" s="4">
        <v>41628867133</v>
      </c>
      <c r="G98" s="5" t="str">
        <f t="shared" si="0"/>
        <v>41628867133</v>
      </c>
      <c r="H98" s="6">
        <v>9646</v>
      </c>
      <c r="I98" s="6">
        <v>0</v>
      </c>
      <c r="J98" s="7">
        <f t="shared" si="1"/>
        <v>9646</v>
      </c>
      <c r="K98" s="7">
        <f t="shared" si="2"/>
        <v>2893.7999999999997</v>
      </c>
      <c r="L98" s="7">
        <f t="shared" si="3"/>
        <v>1</v>
      </c>
      <c r="M98" s="7">
        <f>IFERROR(VLOOKUP(G98,'Base de faturamento'!A:C,2,FALSE),0)</f>
        <v>9646</v>
      </c>
      <c r="N98" s="8">
        <f>IFERROR(VLOOKUP(G98,'Base de faturamento'!A:C,3,FALSE),0)</f>
        <v>44704</v>
      </c>
      <c r="O98" s="8">
        <f t="shared" si="4"/>
        <v>44696</v>
      </c>
      <c r="P98" s="8">
        <f t="shared" si="5"/>
        <v>44713</v>
      </c>
    </row>
    <row r="99" spans="1:16" ht="15" x14ac:dyDescent="0.25">
      <c r="A99" s="2" t="s">
        <v>125</v>
      </c>
      <c r="B99" s="2" t="s">
        <v>29</v>
      </c>
      <c r="C99" s="3" t="str">
        <f>VLOOKUP(B99,Dados!$A$3:$B$10,2,FALSE)</f>
        <v>Time 2</v>
      </c>
      <c r="D99" s="2" t="s">
        <v>22</v>
      </c>
      <c r="E99" s="2" t="s">
        <v>19</v>
      </c>
      <c r="F99" s="4">
        <v>41782027885</v>
      </c>
      <c r="G99" s="5" t="str">
        <f t="shared" si="0"/>
        <v>41782027885</v>
      </c>
      <c r="H99" s="6">
        <v>5113</v>
      </c>
      <c r="I99" s="6">
        <v>0</v>
      </c>
      <c r="J99" s="7">
        <f t="shared" si="1"/>
        <v>5113</v>
      </c>
      <c r="K99" s="7">
        <f t="shared" si="2"/>
        <v>1533.8999999999999</v>
      </c>
      <c r="L99" s="7">
        <f t="shared" si="3"/>
        <v>1</v>
      </c>
      <c r="M99" s="7">
        <f>IFERROR(VLOOKUP(G99,'Base de faturamento'!A:C,2,FALSE),0)</f>
        <v>5113</v>
      </c>
      <c r="N99" s="8">
        <f>IFERROR(VLOOKUP(G99,'Base de faturamento'!A:C,3,FALSE),0)</f>
        <v>44622</v>
      </c>
      <c r="O99" s="8">
        <f t="shared" si="4"/>
        <v>44652</v>
      </c>
      <c r="P99" s="8">
        <f t="shared" si="5"/>
        <v>44652</v>
      </c>
    </row>
    <row r="100" spans="1:16" ht="15" x14ac:dyDescent="0.25">
      <c r="A100" s="2" t="s">
        <v>126</v>
      </c>
      <c r="B100" s="2" t="s">
        <v>33</v>
      </c>
      <c r="C100" s="3" t="str">
        <f>VLOOKUP(B100,Dados!$A$3:$B$10,2,FALSE)</f>
        <v>Time 1</v>
      </c>
      <c r="D100" s="2" t="s">
        <v>18</v>
      </c>
      <c r="E100" s="2" t="s">
        <v>25</v>
      </c>
      <c r="F100" s="4">
        <v>41832921043</v>
      </c>
      <c r="G100" s="5" t="str">
        <f t="shared" si="0"/>
        <v>41832921043</v>
      </c>
      <c r="H100" s="6">
        <v>9876</v>
      </c>
      <c r="I100" s="6">
        <v>6910</v>
      </c>
      <c r="J100" s="7">
        <f t="shared" si="1"/>
        <v>2966</v>
      </c>
      <c r="K100" s="7">
        <f t="shared" si="2"/>
        <v>593.20000000000005</v>
      </c>
      <c r="L100" s="7">
        <f t="shared" si="3"/>
        <v>1</v>
      </c>
      <c r="M100" s="7">
        <f>IFERROR(VLOOKUP(G100,'Base de faturamento'!A:C,2,FALSE),0)</f>
        <v>9876</v>
      </c>
      <c r="N100" s="8">
        <f>IFERROR(VLOOKUP(G100,'Base de faturamento'!A:C,3,FALSE),0)</f>
        <v>44622</v>
      </c>
      <c r="O100" s="8">
        <f t="shared" si="4"/>
        <v>44635</v>
      </c>
      <c r="P100" s="8">
        <f t="shared" si="5"/>
        <v>44652</v>
      </c>
    </row>
    <row r="101" spans="1:16" ht="15" x14ac:dyDescent="0.25">
      <c r="A101" s="2" t="s">
        <v>127</v>
      </c>
      <c r="B101" s="2" t="s">
        <v>33</v>
      </c>
      <c r="C101" s="3" t="str">
        <f>VLOOKUP(B101,Dados!$A$3:$B$10,2,FALSE)</f>
        <v>Time 1</v>
      </c>
      <c r="D101" s="2" t="s">
        <v>22</v>
      </c>
      <c r="E101" s="2" t="s">
        <v>19</v>
      </c>
      <c r="F101" s="4">
        <v>42063789316</v>
      </c>
      <c r="G101" s="5" t="str">
        <f t="shared" si="0"/>
        <v>42063789316</v>
      </c>
      <c r="H101" s="6">
        <v>6483</v>
      </c>
      <c r="I101" s="6">
        <v>0</v>
      </c>
      <c r="J101" s="7">
        <f t="shared" si="1"/>
        <v>6483</v>
      </c>
      <c r="K101" s="7">
        <f t="shared" si="2"/>
        <v>1944.8999999999999</v>
      </c>
      <c r="L101" s="7">
        <f t="shared" si="3"/>
        <v>1</v>
      </c>
      <c r="M101" s="7">
        <f>IFERROR(VLOOKUP(G101,'Base de faturamento'!A:C,2,FALSE),0)</f>
        <v>6483</v>
      </c>
      <c r="N101" s="8">
        <f>IFERROR(VLOOKUP(G101,'Base de faturamento'!A:C,3,FALSE),0)</f>
        <v>44735</v>
      </c>
      <c r="O101" s="8">
        <f t="shared" si="4"/>
        <v>44727</v>
      </c>
      <c r="P101" s="8">
        <f t="shared" si="5"/>
        <v>44743</v>
      </c>
    </row>
    <row r="102" spans="1:16" ht="15" x14ac:dyDescent="0.25">
      <c r="A102" s="2" t="s">
        <v>128</v>
      </c>
      <c r="B102" s="2" t="s">
        <v>29</v>
      </c>
      <c r="C102" s="3" t="str">
        <f>VLOOKUP(B102,Dados!$A$3:$B$10,2,FALSE)</f>
        <v>Time 2</v>
      </c>
      <c r="D102" s="2" t="s">
        <v>18</v>
      </c>
      <c r="E102" s="2" t="s">
        <v>25</v>
      </c>
      <c r="F102" s="4">
        <v>42370104789</v>
      </c>
      <c r="G102" s="5" t="str">
        <f t="shared" si="0"/>
        <v>42370104789</v>
      </c>
      <c r="H102" s="6">
        <v>9294</v>
      </c>
      <c r="I102" s="6">
        <v>4301</v>
      </c>
      <c r="J102" s="7">
        <f t="shared" si="1"/>
        <v>4993</v>
      </c>
      <c r="K102" s="7">
        <f t="shared" si="2"/>
        <v>998.6</v>
      </c>
      <c r="L102" s="7">
        <f t="shared" si="3"/>
        <v>1</v>
      </c>
      <c r="M102" s="7">
        <f>IFERROR(VLOOKUP(G102,'Base de faturamento'!A:C,2,FALSE),0)</f>
        <v>9294</v>
      </c>
      <c r="N102" s="8">
        <f>IFERROR(VLOOKUP(G102,'Base de faturamento'!A:C,3,FALSE),0)</f>
        <v>44680</v>
      </c>
      <c r="O102" s="8">
        <f t="shared" si="4"/>
        <v>44682</v>
      </c>
      <c r="P102" s="8">
        <f t="shared" si="5"/>
        <v>44682</v>
      </c>
    </row>
    <row r="103" spans="1:16" ht="15" x14ac:dyDescent="0.25">
      <c r="A103" s="2" t="s">
        <v>129</v>
      </c>
      <c r="B103" s="2" t="s">
        <v>21</v>
      </c>
      <c r="C103" s="3" t="str">
        <f>VLOOKUP(B103,Dados!$A$3:$B$10,2,FALSE)</f>
        <v>Time 1</v>
      </c>
      <c r="D103" s="2" t="s">
        <v>18</v>
      </c>
      <c r="E103" s="2" t="s">
        <v>19</v>
      </c>
      <c r="F103" s="4">
        <v>42625820582</v>
      </c>
      <c r="G103" s="5" t="str">
        <f t="shared" si="0"/>
        <v>42625820582</v>
      </c>
      <c r="H103" s="6">
        <v>7089</v>
      </c>
      <c r="I103" s="6">
        <v>0</v>
      </c>
      <c r="J103" s="7">
        <f t="shared" si="1"/>
        <v>7089</v>
      </c>
      <c r="K103" s="7">
        <f t="shared" si="2"/>
        <v>1417.8000000000002</v>
      </c>
      <c r="L103" s="7">
        <f t="shared" si="3"/>
        <v>1</v>
      </c>
      <c r="M103" s="7">
        <f>IFERROR(VLOOKUP(G103,'Base de faturamento'!A:C,2,FALSE),0)</f>
        <v>7089</v>
      </c>
      <c r="N103" s="8">
        <f>IFERROR(VLOOKUP(G103,'Base de faturamento'!A:C,3,FALSE),0)</f>
        <v>44715</v>
      </c>
      <c r="O103" s="8">
        <f t="shared" si="4"/>
        <v>44727</v>
      </c>
      <c r="P103" s="8">
        <f t="shared" si="5"/>
        <v>44743</v>
      </c>
    </row>
    <row r="104" spans="1:16" ht="15" x14ac:dyDescent="0.25">
      <c r="A104" s="2" t="s">
        <v>130</v>
      </c>
      <c r="B104" s="2" t="s">
        <v>21</v>
      </c>
      <c r="C104" s="3" t="str">
        <f>VLOOKUP(B104,Dados!$A$3:$B$10,2,FALSE)</f>
        <v>Time 1</v>
      </c>
      <c r="D104" s="2" t="s">
        <v>18</v>
      </c>
      <c r="E104" s="2" t="s">
        <v>19</v>
      </c>
      <c r="F104" s="4">
        <v>42659605391</v>
      </c>
      <c r="G104" s="5" t="str">
        <f t="shared" si="0"/>
        <v>42659605391</v>
      </c>
      <c r="H104" s="6">
        <v>8367</v>
      </c>
      <c r="I104" s="6">
        <v>0</v>
      </c>
      <c r="J104" s="7">
        <f t="shared" si="1"/>
        <v>8367</v>
      </c>
      <c r="K104" s="7">
        <f t="shared" si="2"/>
        <v>1673.4</v>
      </c>
      <c r="L104" s="7">
        <f t="shared" si="3"/>
        <v>1</v>
      </c>
      <c r="M104" s="7">
        <f>IFERROR(VLOOKUP(G104,'Base de faturamento'!A:C,2,FALSE),0)</f>
        <v>8367</v>
      </c>
      <c r="N104" s="8">
        <f>IFERROR(VLOOKUP(G104,'Base de faturamento'!A:C,3,FALSE),0)</f>
        <v>44630</v>
      </c>
      <c r="O104" s="8">
        <f t="shared" si="4"/>
        <v>44635</v>
      </c>
      <c r="P104" s="8">
        <f t="shared" si="5"/>
        <v>44652</v>
      </c>
    </row>
    <row r="105" spans="1:16" ht="15" x14ac:dyDescent="0.25">
      <c r="A105" s="2" t="s">
        <v>131</v>
      </c>
      <c r="B105" s="2" t="s">
        <v>17</v>
      </c>
      <c r="C105" s="3" t="str">
        <f>VLOOKUP(B105,Dados!$A$3:$B$10,2,FALSE)</f>
        <v>Time 3</v>
      </c>
      <c r="D105" s="2" t="s">
        <v>22</v>
      </c>
      <c r="E105" s="2" t="s">
        <v>19</v>
      </c>
      <c r="F105" s="4">
        <v>42874972925</v>
      </c>
      <c r="G105" s="5" t="str">
        <f t="shared" si="0"/>
        <v>42874972925</v>
      </c>
      <c r="H105" s="6">
        <v>1647</v>
      </c>
      <c r="I105" s="6">
        <v>0</v>
      </c>
      <c r="J105" s="7">
        <f t="shared" si="1"/>
        <v>1647</v>
      </c>
      <c r="K105" s="7">
        <f t="shared" si="2"/>
        <v>494.09999999999997</v>
      </c>
      <c r="L105" s="7">
        <f t="shared" si="3"/>
        <v>1</v>
      </c>
      <c r="M105" s="7">
        <f>IFERROR(VLOOKUP(G105,'Base de faturamento'!A:C,2,FALSE),0)</f>
        <v>1647</v>
      </c>
      <c r="N105" s="8">
        <f>IFERROR(VLOOKUP(G105,'Base de faturamento'!A:C,3,FALSE),0)</f>
        <v>44672</v>
      </c>
      <c r="O105" s="8">
        <f t="shared" si="4"/>
        <v>44682</v>
      </c>
      <c r="P105" s="8">
        <f t="shared" si="5"/>
        <v>44682</v>
      </c>
    </row>
    <row r="106" spans="1:16" ht="15" x14ac:dyDescent="0.25">
      <c r="A106" s="2" t="s">
        <v>132</v>
      </c>
      <c r="B106" s="2" t="s">
        <v>33</v>
      </c>
      <c r="C106" s="3" t="str">
        <f>VLOOKUP(B106,Dados!$A$3:$B$10,2,FALSE)</f>
        <v>Time 1</v>
      </c>
      <c r="D106" s="2" t="s">
        <v>18</v>
      </c>
      <c r="E106" s="2" t="s">
        <v>25</v>
      </c>
      <c r="F106" s="4">
        <v>43360364678</v>
      </c>
      <c r="G106" s="5" t="str">
        <f t="shared" si="0"/>
        <v>43360364678</v>
      </c>
      <c r="H106" s="6">
        <v>7001</v>
      </c>
      <c r="I106" s="6">
        <v>6523</v>
      </c>
      <c r="J106" s="7">
        <f t="shared" si="1"/>
        <v>478</v>
      </c>
      <c r="K106" s="7">
        <f t="shared" si="2"/>
        <v>95.600000000000009</v>
      </c>
      <c r="L106" s="7">
        <f t="shared" si="3"/>
        <v>1</v>
      </c>
      <c r="M106" s="7">
        <f>IFERROR(VLOOKUP(G106,'Base de faturamento'!A:C,2,FALSE),0)</f>
        <v>7001</v>
      </c>
      <c r="N106" s="8">
        <f>IFERROR(VLOOKUP(G106,'Base de faturamento'!A:C,3,FALSE),0)</f>
        <v>44650</v>
      </c>
      <c r="O106" s="8">
        <f t="shared" si="4"/>
        <v>44635</v>
      </c>
      <c r="P106" s="8">
        <f t="shared" si="5"/>
        <v>44652</v>
      </c>
    </row>
    <row r="107" spans="1:16" ht="15" x14ac:dyDescent="0.25">
      <c r="A107" s="2" t="s">
        <v>133</v>
      </c>
      <c r="B107" s="2" t="s">
        <v>24</v>
      </c>
      <c r="C107" s="3" t="str">
        <f>VLOOKUP(B107,Dados!$A$3:$B$10,2,FALSE)</f>
        <v>Time 2</v>
      </c>
      <c r="D107" s="2" t="s">
        <v>22</v>
      </c>
      <c r="E107" s="2" t="s">
        <v>25</v>
      </c>
      <c r="F107" s="4">
        <v>43423666928</v>
      </c>
      <c r="G107" s="5" t="str">
        <f t="shared" si="0"/>
        <v>43423666928</v>
      </c>
      <c r="H107" s="6">
        <v>3668</v>
      </c>
      <c r="I107" s="6">
        <v>9798</v>
      </c>
      <c r="J107" s="7">
        <f t="shared" si="1"/>
        <v>0</v>
      </c>
      <c r="K107" s="7">
        <f t="shared" si="2"/>
        <v>0</v>
      </c>
      <c r="L107" s="7">
        <f t="shared" si="3"/>
        <v>1</v>
      </c>
      <c r="M107" s="7">
        <f>IFERROR(VLOOKUP(G107,'Base de faturamento'!A:C,2,FALSE),0)</f>
        <v>3668</v>
      </c>
      <c r="N107" s="8">
        <f>IFERROR(VLOOKUP(G107,'Base de faturamento'!A:C,3,FALSE),0)</f>
        <v>44684</v>
      </c>
      <c r="O107" s="8">
        <f t="shared" si="4"/>
        <v>44713</v>
      </c>
      <c r="P107" s="8">
        <f t="shared" si="5"/>
        <v>44713</v>
      </c>
    </row>
    <row r="108" spans="1:16" ht="15" x14ac:dyDescent="0.25">
      <c r="A108" s="2" t="s">
        <v>134</v>
      </c>
      <c r="B108" s="2" t="s">
        <v>27</v>
      </c>
      <c r="C108" s="3" t="str">
        <f>VLOOKUP(B108,Dados!$A$3:$B$10,2,FALSE)</f>
        <v>Time 2</v>
      </c>
      <c r="D108" s="2" t="s">
        <v>18</v>
      </c>
      <c r="E108" s="2" t="s">
        <v>25</v>
      </c>
      <c r="F108" s="4">
        <v>43676344145</v>
      </c>
      <c r="G108" s="5" t="str">
        <f t="shared" si="0"/>
        <v>43676344145</v>
      </c>
      <c r="H108" s="6">
        <v>5712</v>
      </c>
      <c r="I108" s="6">
        <v>8600</v>
      </c>
      <c r="J108" s="7">
        <f t="shared" si="1"/>
        <v>0</v>
      </c>
      <c r="K108" s="7">
        <f t="shared" si="2"/>
        <v>0</v>
      </c>
      <c r="L108" s="7">
        <f t="shared" si="3"/>
        <v>1</v>
      </c>
      <c r="M108" s="7">
        <f>IFERROR(VLOOKUP(G108,'Base de faturamento'!A:C,2,FALSE),0)</f>
        <v>5712</v>
      </c>
      <c r="N108" s="8">
        <f>IFERROR(VLOOKUP(G108,'Base de faturamento'!A:C,3,FALSE),0)</f>
        <v>44702</v>
      </c>
      <c r="O108" s="8">
        <f t="shared" si="4"/>
        <v>44713</v>
      </c>
      <c r="P108" s="8">
        <f t="shared" si="5"/>
        <v>44713</v>
      </c>
    </row>
    <row r="109" spans="1:16" ht="15" x14ac:dyDescent="0.25">
      <c r="A109" s="2" t="s">
        <v>135</v>
      </c>
      <c r="B109" s="2" t="s">
        <v>27</v>
      </c>
      <c r="C109" s="3" t="str">
        <f>VLOOKUP(B109,Dados!$A$3:$B$10,2,FALSE)</f>
        <v>Time 2</v>
      </c>
      <c r="D109" s="2" t="s">
        <v>18</v>
      </c>
      <c r="E109" s="2" t="s">
        <v>25</v>
      </c>
      <c r="F109" s="4">
        <v>44382053907</v>
      </c>
      <c r="G109" s="5" t="str">
        <f t="shared" si="0"/>
        <v>44382053907</v>
      </c>
      <c r="H109" s="6">
        <v>9029</v>
      </c>
      <c r="I109" s="6">
        <v>3639</v>
      </c>
      <c r="J109" s="7">
        <f t="shared" si="1"/>
        <v>5390</v>
      </c>
      <c r="K109" s="7">
        <f t="shared" si="2"/>
        <v>1078</v>
      </c>
      <c r="L109" s="7">
        <f t="shared" si="3"/>
        <v>1</v>
      </c>
      <c r="M109" s="7">
        <f>IFERROR(VLOOKUP(G109,'Base de faturamento'!A:C,2,FALSE),0)</f>
        <v>9029</v>
      </c>
      <c r="N109" s="8">
        <f>IFERROR(VLOOKUP(G109,'Base de faturamento'!A:C,3,FALSE),0)</f>
        <v>44656</v>
      </c>
      <c r="O109" s="8">
        <f t="shared" si="4"/>
        <v>44682</v>
      </c>
      <c r="P109" s="8">
        <f t="shared" si="5"/>
        <v>44682</v>
      </c>
    </row>
    <row r="110" spans="1:16" ht="15" x14ac:dyDescent="0.25">
      <c r="A110" s="2" t="s">
        <v>136</v>
      </c>
      <c r="B110" s="2" t="s">
        <v>29</v>
      </c>
      <c r="C110" s="3" t="str">
        <f>VLOOKUP(B110,Dados!$A$3:$B$10,2,FALSE)</f>
        <v>Time 2</v>
      </c>
      <c r="D110" s="2" t="s">
        <v>22</v>
      </c>
      <c r="E110" s="2" t="s">
        <v>25</v>
      </c>
      <c r="F110" s="4">
        <v>44416327413</v>
      </c>
      <c r="G110" s="5" t="str">
        <f t="shared" si="0"/>
        <v>44416327413</v>
      </c>
      <c r="H110" s="6">
        <v>1085</v>
      </c>
      <c r="I110" s="6">
        <v>9249</v>
      </c>
      <c r="J110" s="7">
        <f t="shared" si="1"/>
        <v>0</v>
      </c>
      <c r="K110" s="7">
        <f t="shared" si="2"/>
        <v>0</v>
      </c>
      <c r="L110" s="7">
        <f t="shared" si="3"/>
        <v>0</v>
      </c>
      <c r="M110" s="7">
        <f>IFERROR(VLOOKUP(G110,'Base de faturamento'!A:C,2,FALSE),0)</f>
        <v>0</v>
      </c>
      <c r="N110" s="8">
        <f>IFERROR(VLOOKUP(G110,'Base de faturamento'!A:C,3,FALSE),0)</f>
        <v>0</v>
      </c>
      <c r="O110" s="8">
        <f t="shared" si="4"/>
        <v>32</v>
      </c>
      <c r="P110" s="9" t="b">
        <f t="shared" si="5"/>
        <v>0</v>
      </c>
    </row>
    <row r="111" spans="1:16" ht="15" x14ac:dyDescent="0.25">
      <c r="A111" s="2" t="s">
        <v>137</v>
      </c>
      <c r="B111" s="2" t="s">
        <v>36</v>
      </c>
      <c r="C111" s="3" t="str">
        <f>VLOOKUP(B111,Dados!$A$3:$B$10,2,FALSE)</f>
        <v>Time 1</v>
      </c>
      <c r="D111" s="2" t="s">
        <v>18</v>
      </c>
      <c r="E111" s="2" t="s">
        <v>25</v>
      </c>
      <c r="F111" s="4">
        <v>44422359936</v>
      </c>
      <c r="G111" s="5" t="str">
        <f t="shared" si="0"/>
        <v>44422359936</v>
      </c>
      <c r="H111" s="6">
        <v>9340</v>
      </c>
      <c r="I111" s="6">
        <v>3338</v>
      </c>
      <c r="J111" s="7">
        <f t="shared" si="1"/>
        <v>6002</v>
      </c>
      <c r="K111" s="7">
        <f t="shared" si="2"/>
        <v>1200.4000000000001</v>
      </c>
      <c r="L111" s="7">
        <f t="shared" si="3"/>
        <v>1</v>
      </c>
      <c r="M111" s="7">
        <f>IFERROR(VLOOKUP(G111,'Base de faturamento'!A:C,2,FALSE),0)</f>
        <v>9340</v>
      </c>
      <c r="N111" s="8">
        <f>IFERROR(VLOOKUP(G111,'Base de faturamento'!A:C,3,FALSE),0)</f>
        <v>44660</v>
      </c>
      <c r="O111" s="8">
        <f t="shared" si="4"/>
        <v>44666</v>
      </c>
      <c r="P111" s="8">
        <f t="shared" si="5"/>
        <v>44682</v>
      </c>
    </row>
    <row r="112" spans="1:16" ht="15" x14ac:dyDescent="0.25">
      <c r="A112" s="2" t="s">
        <v>138</v>
      </c>
      <c r="B112" s="2" t="s">
        <v>27</v>
      </c>
      <c r="C112" s="3" t="str">
        <f>VLOOKUP(B112,Dados!$A$3:$B$10,2,FALSE)</f>
        <v>Time 2</v>
      </c>
      <c r="D112" s="2" t="s">
        <v>22</v>
      </c>
      <c r="E112" s="2" t="s">
        <v>25</v>
      </c>
      <c r="F112" s="4">
        <v>44423229021</v>
      </c>
      <c r="G112" s="5" t="str">
        <f t="shared" si="0"/>
        <v>44423229021</v>
      </c>
      <c r="H112" s="6">
        <v>3379</v>
      </c>
      <c r="I112" s="6">
        <v>1180</v>
      </c>
      <c r="J112" s="7">
        <f t="shared" si="1"/>
        <v>2199</v>
      </c>
      <c r="K112" s="7">
        <f t="shared" si="2"/>
        <v>659.69999999999993</v>
      </c>
      <c r="L112" s="7">
        <f t="shared" si="3"/>
        <v>1</v>
      </c>
      <c r="M112" s="7">
        <f>IFERROR(VLOOKUP(G112,'Base de faturamento'!A:C,2,FALSE),0)</f>
        <v>3379</v>
      </c>
      <c r="N112" s="8">
        <f>IFERROR(VLOOKUP(G112,'Base de faturamento'!A:C,3,FALSE),0)</f>
        <v>44690</v>
      </c>
      <c r="O112" s="8">
        <f t="shared" si="4"/>
        <v>44713</v>
      </c>
      <c r="P112" s="8">
        <f t="shared" si="5"/>
        <v>44713</v>
      </c>
    </row>
    <row r="113" spans="1:16" ht="15" x14ac:dyDescent="0.25">
      <c r="A113" s="2" t="s">
        <v>139</v>
      </c>
      <c r="B113" s="2" t="s">
        <v>17</v>
      </c>
      <c r="C113" s="3" t="str">
        <f>VLOOKUP(B113,Dados!$A$3:$B$10,2,FALSE)</f>
        <v>Time 3</v>
      </c>
      <c r="D113" s="2" t="s">
        <v>22</v>
      </c>
      <c r="E113" s="2" t="s">
        <v>25</v>
      </c>
      <c r="F113" s="4">
        <v>44783399451</v>
      </c>
      <c r="G113" s="5" t="str">
        <f t="shared" si="0"/>
        <v>44783399451</v>
      </c>
      <c r="H113" s="6">
        <v>6702</v>
      </c>
      <c r="I113" s="6">
        <v>2525</v>
      </c>
      <c r="J113" s="7">
        <f t="shared" si="1"/>
        <v>4177</v>
      </c>
      <c r="K113" s="7">
        <f t="shared" si="2"/>
        <v>0</v>
      </c>
      <c r="L113" s="7">
        <f t="shared" si="3"/>
        <v>0</v>
      </c>
      <c r="M113" s="7">
        <f>IFERROR(VLOOKUP(G113,'Base de faturamento'!A:C,2,FALSE),0)</f>
        <v>0</v>
      </c>
      <c r="N113" s="8">
        <f>IFERROR(VLOOKUP(G113,'Base de faturamento'!A:C,3,FALSE),0)</f>
        <v>0</v>
      </c>
      <c r="O113" s="8">
        <f t="shared" si="4"/>
        <v>32</v>
      </c>
      <c r="P113" s="9" t="b">
        <f t="shared" si="5"/>
        <v>0</v>
      </c>
    </row>
    <row r="114" spans="1:16" ht="15" x14ac:dyDescent="0.25">
      <c r="A114" s="2" t="s">
        <v>140</v>
      </c>
      <c r="B114" s="2" t="s">
        <v>33</v>
      </c>
      <c r="C114" s="3" t="str">
        <f>VLOOKUP(B114,Dados!$A$3:$B$10,2,FALSE)</f>
        <v>Time 1</v>
      </c>
      <c r="D114" s="2" t="s">
        <v>18</v>
      </c>
      <c r="E114" s="2" t="s">
        <v>25</v>
      </c>
      <c r="F114" s="4">
        <v>44894556549</v>
      </c>
      <c r="G114" s="5" t="str">
        <f t="shared" si="0"/>
        <v>44894556549</v>
      </c>
      <c r="H114" s="6">
        <v>3699</v>
      </c>
      <c r="I114" s="6">
        <v>1252</v>
      </c>
      <c r="J114" s="7">
        <f t="shared" si="1"/>
        <v>2447</v>
      </c>
      <c r="K114" s="7">
        <f t="shared" si="2"/>
        <v>489.40000000000003</v>
      </c>
      <c r="L114" s="7">
        <f t="shared" si="3"/>
        <v>1</v>
      </c>
      <c r="M114" s="7">
        <f>IFERROR(VLOOKUP(G114,'Base de faturamento'!A:C,2,FALSE),0)</f>
        <v>3699</v>
      </c>
      <c r="N114" s="8">
        <f>IFERROR(VLOOKUP(G114,'Base de faturamento'!A:C,3,FALSE),0)</f>
        <v>44702</v>
      </c>
      <c r="O114" s="8">
        <f t="shared" si="4"/>
        <v>44696</v>
      </c>
      <c r="P114" s="8">
        <f t="shared" si="5"/>
        <v>44713</v>
      </c>
    </row>
    <row r="115" spans="1:16" ht="15" x14ac:dyDescent="0.25">
      <c r="A115" s="2" t="s">
        <v>141</v>
      </c>
      <c r="B115" s="2" t="s">
        <v>24</v>
      </c>
      <c r="C115" s="3" t="str">
        <f>VLOOKUP(B115,Dados!$A$3:$B$10,2,FALSE)</f>
        <v>Time 2</v>
      </c>
      <c r="D115" s="2" t="s">
        <v>18</v>
      </c>
      <c r="E115" s="2" t="s">
        <v>19</v>
      </c>
      <c r="F115" s="4">
        <v>45018525698</v>
      </c>
      <c r="G115" s="5" t="str">
        <f t="shared" si="0"/>
        <v>45018525698</v>
      </c>
      <c r="H115" s="6">
        <v>8774</v>
      </c>
      <c r="I115" s="6">
        <v>0</v>
      </c>
      <c r="J115" s="7">
        <f t="shared" si="1"/>
        <v>8774</v>
      </c>
      <c r="K115" s="7">
        <f t="shared" si="2"/>
        <v>1754.8000000000002</v>
      </c>
      <c r="L115" s="7">
        <f t="shared" si="3"/>
        <v>1</v>
      </c>
      <c r="M115" s="7">
        <f>IFERROR(VLOOKUP(G115,'Base de faturamento'!A:C,2,FALSE),0)</f>
        <v>8774</v>
      </c>
      <c r="N115" s="8">
        <f>IFERROR(VLOOKUP(G115,'Base de faturamento'!A:C,3,FALSE),0)</f>
        <v>44649</v>
      </c>
      <c r="O115" s="8">
        <f t="shared" si="4"/>
        <v>44652</v>
      </c>
      <c r="P115" s="8">
        <f t="shared" si="5"/>
        <v>44652</v>
      </c>
    </row>
    <row r="116" spans="1:16" ht="15" x14ac:dyDescent="0.25">
      <c r="A116" s="2" t="s">
        <v>142</v>
      </c>
      <c r="B116" s="2" t="s">
        <v>17</v>
      </c>
      <c r="C116" s="3" t="str">
        <f>VLOOKUP(B116,Dados!$A$3:$B$10,2,FALSE)</f>
        <v>Time 3</v>
      </c>
      <c r="D116" s="2" t="s">
        <v>18</v>
      </c>
      <c r="E116" s="2" t="s">
        <v>19</v>
      </c>
      <c r="F116" s="4">
        <v>45386044531</v>
      </c>
      <c r="G116" s="5" t="str">
        <f t="shared" si="0"/>
        <v>45386044531</v>
      </c>
      <c r="H116" s="6">
        <v>8734</v>
      </c>
      <c r="I116" s="6">
        <v>0</v>
      </c>
      <c r="J116" s="7">
        <f t="shared" si="1"/>
        <v>8734</v>
      </c>
      <c r="K116" s="7">
        <f t="shared" si="2"/>
        <v>1746.8000000000002</v>
      </c>
      <c r="L116" s="7">
        <f t="shared" si="3"/>
        <v>1</v>
      </c>
      <c r="M116" s="7">
        <f>IFERROR(VLOOKUP(G116,'Base de faturamento'!A:C,2,FALSE),0)</f>
        <v>8734</v>
      </c>
      <c r="N116" s="8">
        <f>IFERROR(VLOOKUP(G116,'Base de faturamento'!A:C,3,FALSE),0)</f>
        <v>44742</v>
      </c>
      <c r="O116" s="8">
        <f t="shared" si="4"/>
        <v>44743</v>
      </c>
      <c r="P116" s="8">
        <f t="shared" si="5"/>
        <v>44743</v>
      </c>
    </row>
    <row r="117" spans="1:16" ht="15" x14ac:dyDescent="0.25">
      <c r="A117" s="2" t="s">
        <v>143</v>
      </c>
      <c r="B117" s="2" t="s">
        <v>17</v>
      </c>
      <c r="C117" s="3" t="str">
        <f>VLOOKUP(B117,Dados!$A$3:$B$10,2,FALSE)</f>
        <v>Time 3</v>
      </c>
      <c r="D117" s="2" t="s">
        <v>22</v>
      </c>
      <c r="E117" s="2" t="s">
        <v>19</v>
      </c>
      <c r="F117" s="4">
        <v>46219531250</v>
      </c>
      <c r="G117" s="5" t="str">
        <f t="shared" si="0"/>
        <v>46219531250</v>
      </c>
      <c r="H117" s="6">
        <v>6462</v>
      </c>
      <c r="I117" s="6">
        <v>0</v>
      </c>
      <c r="J117" s="7">
        <f t="shared" si="1"/>
        <v>6462</v>
      </c>
      <c r="K117" s="7">
        <f t="shared" si="2"/>
        <v>1938.6</v>
      </c>
      <c r="L117" s="7">
        <f t="shared" si="3"/>
        <v>1</v>
      </c>
      <c r="M117" s="7">
        <f>IFERROR(VLOOKUP(G117,'Base de faturamento'!A:C,2,FALSE),0)</f>
        <v>6462</v>
      </c>
      <c r="N117" s="8">
        <f>IFERROR(VLOOKUP(G117,'Base de faturamento'!A:C,3,FALSE),0)</f>
        <v>44669</v>
      </c>
      <c r="O117" s="8">
        <f t="shared" si="4"/>
        <v>44682</v>
      </c>
      <c r="P117" s="8">
        <f t="shared" si="5"/>
        <v>44682</v>
      </c>
    </row>
    <row r="118" spans="1:16" ht="15" x14ac:dyDescent="0.25">
      <c r="A118" s="2" t="s">
        <v>144</v>
      </c>
      <c r="B118" s="2" t="s">
        <v>21</v>
      </c>
      <c r="C118" s="3" t="str">
        <f>VLOOKUP(B118,Dados!$A$3:$B$10,2,FALSE)</f>
        <v>Time 1</v>
      </c>
      <c r="D118" s="2" t="s">
        <v>22</v>
      </c>
      <c r="E118" s="2" t="s">
        <v>25</v>
      </c>
      <c r="F118" s="4">
        <v>47315980598</v>
      </c>
      <c r="G118" s="5" t="str">
        <f t="shared" si="0"/>
        <v>47315980598</v>
      </c>
      <c r="H118" s="6">
        <v>8620</v>
      </c>
      <c r="I118" s="6">
        <v>6686</v>
      </c>
      <c r="J118" s="7">
        <f t="shared" si="1"/>
        <v>1934</v>
      </c>
      <c r="K118" s="7">
        <f t="shared" si="2"/>
        <v>580.19999999999993</v>
      </c>
      <c r="L118" s="7">
        <f t="shared" si="3"/>
        <v>1</v>
      </c>
      <c r="M118" s="7">
        <f>IFERROR(VLOOKUP(G118,'Base de faturamento'!A:C,2,FALSE),0)</f>
        <v>8620</v>
      </c>
      <c r="N118" s="8">
        <f>IFERROR(VLOOKUP(G118,'Base de faturamento'!A:C,3,FALSE),0)</f>
        <v>44733</v>
      </c>
      <c r="O118" s="8">
        <f t="shared" si="4"/>
        <v>44727</v>
      </c>
      <c r="P118" s="8">
        <f t="shared" si="5"/>
        <v>44743</v>
      </c>
    </row>
    <row r="119" spans="1:16" ht="15" x14ac:dyDescent="0.25">
      <c r="A119" s="2" t="s">
        <v>145</v>
      </c>
      <c r="B119" s="2" t="s">
        <v>27</v>
      </c>
      <c r="C119" s="3" t="str">
        <f>VLOOKUP(B119,Dados!$A$3:$B$10,2,FALSE)</f>
        <v>Time 2</v>
      </c>
      <c r="D119" s="2" t="s">
        <v>22</v>
      </c>
      <c r="E119" s="2" t="s">
        <v>25</v>
      </c>
      <c r="F119" s="4">
        <v>47463966097</v>
      </c>
      <c r="G119" s="5" t="str">
        <f t="shared" si="0"/>
        <v>47463966097</v>
      </c>
      <c r="H119" s="6">
        <v>7887</v>
      </c>
      <c r="I119" s="6">
        <v>9973</v>
      </c>
      <c r="J119" s="7">
        <f t="shared" si="1"/>
        <v>0</v>
      </c>
      <c r="K119" s="7">
        <f t="shared" si="2"/>
        <v>0</v>
      </c>
      <c r="L119" s="7">
        <f t="shared" si="3"/>
        <v>1</v>
      </c>
      <c r="M119" s="7">
        <f>IFERROR(VLOOKUP(G119,'Base de faturamento'!A:C,2,FALSE),0)</f>
        <v>7887</v>
      </c>
      <c r="N119" s="8">
        <f>IFERROR(VLOOKUP(G119,'Base de faturamento'!A:C,3,FALSE),0)</f>
        <v>44739</v>
      </c>
      <c r="O119" s="8">
        <f t="shared" si="4"/>
        <v>44743</v>
      </c>
      <c r="P119" s="8">
        <f t="shared" si="5"/>
        <v>44743</v>
      </c>
    </row>
    <row r="120" spans="1:16" ht="15" x14ac:dyDescent="0.25">
      <c r="A120" s="2" t="s">
        <v>146</v>
      </c>
      <c r="B120" s="2" t="s">
        <v>24</v>
      </c>
      <c r="C120" s="3" t="str">
        <f>VLOOKUP(B120,Dados!$A$3:$B$10,2,FALSE)</f>
        <v>Time 2</v>
      </c>
      <c r="D120" s="2" t="s">
        <v>18</v>
      </c>
      <c r="E120" s="2" t="s">
        <v>25</v>
      </c>
      <c r="F120" s="4">
        <v>47765708723</v>
      </c>
      <c r="G120" s="5" t="str">
        <f t="shared" si="0"/>
        <v>47765708723</v>
      </c>
      <c r="H120" s="6">
        <v>5944</v>
      </c>
      <c r="I120" s="6">
        <v>3547</v>
      </c>
      <c r="J120" s="7">
        <f t="shared" si="1"/>
        <v>2397</v>
      </c>
      <c r="K120" s="7">
        <f t="shared" si="2"/>
        <v>479.40000000000003</v>
      </c>
      <c r="L120" s="7">
        <f t="shared" si="3"/>
        <v>1</v>
      </c>
      <c r="M120" s="7">
        <f>IFERROR(VLOOKUP(G120,'Base de faturamento'!A:C,2,FALSE),0)</f>
        <v>5944</v>
      </c>
      <c r="N120" s="8">
        <f>IFERROR(VLOOKUP(G120,'Base de faturamento'!A:C,3,FALSE),0)</f>
        <v>44698</v>
      </c>
      <c r="O120" s="8">
        <f t="shared" si="4"/>
        <v>44713</v>
      </c>
      <c r="P120" s="8">
        <f t="shared" si="5"/>
        <v>44713</v>
      </c>
    </row>
    <row r="121" spans="1:16" ht="15" x14ac:dyDescent="0.25">
      <c r="A121" s="2" t="s">
        <v>147</v>
      </c>
      <c r="B121" s="2" t="s">
        <v>29</v>
      </c>
      <c r="C121" s="3" t="str">
        <f>VLOOKUP(B121,Dados!$A$3:$B$10,2,FALSE)</f>
        <v>Time 2</v>
      </c>
      <c r="D121" s="2" t="s">
        <v>18</v>
      </c>
      <c r="E121" s="2" t="s">
        <v>19</v>
      </c>
      <c r="F121" s="4">
        <v>48219341631</v>
      </c>
      <c r="G121" s="5" t="str">
        <f t="shared" si="0"/>
        <v>48219341631</v>
      </c>
      <c r="H121" s="6">
        <v>9876</v>
      </c>
      <c r="I121" s="6">
        <v>0</v>
      </c>
      <c r="J121" s="7">
        <f t="shared" si="1"/>
        <v>9876</v>
      </c>
      <c r="K121" s="7">
        <f t="shared" si="2"/>
        <v>1975.2</v>
      </c>
      <c r="L121" s="7">
        <f t="shared" si="3"/>
        <v>1</v>
      </c>
      <c r="M121" s="7">
        <f>IFERROR(VLOOKUP(G121,'Base de faturamento'!A:C,2,FALSE),0)</f>
        <v>9876</v>
      </c>
      <c r="N121" s="8">
        <f>IFERROR(VLOOKUP(G121,'Base de faturamento'!A:C,3,FALSE),0)</f>
        <v>44663</v>
      </c>
      <c r="O121" s="8">
        <f t="shared" si="4"/>
        <v>44682</v>
      </c>
      <c r="P121" s="8">
        <f t="shared" si="5"/>
        <v>44682</v>
      </c>
    </row>
    <row r="122" spans="1:16" ht="15" x14ac:dyDescent="0.25">
      <c r="A122" s="2" t="s">
        <v>148</v>
      </c>
      <c r="B122" s="2" t="s">
        <v>17</v>
      </c>
      <c r="C122" s="3" t="str">
        <f>VLOOKUP(B122,Dados!$A$3:$B$10,2,FALSE)</f>
        <v>Time 3</v>
      </c>
      <c r="D122" s="2" t="s">
        <v>18</v>
      </c>
      <c r="E122" s="2" t="s">
        <v>25</v>
      </c>
      <c r="F122" s="4">
        <v>48393215352</v>
      </c>
      <c r="G122" s="5" t="str">
        <f t="shared" si="0"/>
        <v>48393215352</v>
      </c>
      <c r="H122" s="6">
        <v>2532</v>
      </c>
      <c r="I122" s="6">
        <v>4600</v>
      </c>
      <c r="J122" s="7">
        <f t="shared" si="1"/>
        <v>0</v>
      </c>
      <c r="K122" s="7">
        <f t="shared" si="2"/>
        <v>0</v>
      </c>
      <c r="L122" s="7">
        <f t="shared" si="3"/>
        <v>1</v>
      </c>
      <c r="M122" s="7">
        <f>IFERROR(VLOOKUP(G122,'Base de faturamento'!A:C,2,FALSE),0)</f>
        <v>2532</v>
      </c>
      <c r="N122" s="8">
        <f>IFERROR(VLOOKUP(G122,'Base de faturamento'!A:C,3,FALSE),0)</f>
        <v>44667</v>
      </c>
      <c r="O122" s="8">
        <f t="shared" si="4"/>
        <v>44682</v>
      </c>
      <c r="P122" s="8">
        <f t="shared" si="5"/>
        <v>44682</v>
      </c>
    </row>
    <row r="123" spans="1:16" ht="15" x14ac:dyDescent="0.25">
      <c r="A123" s="2" t="s">
        <v>149</v>
      </c>
      <c r="B123" s="2" t="s">
        <v>24</v>
      </c>
      <c r="C123" s="3" t="str">
        <f>VLOOKUP(B123,Dados!$A$3:$B$10,2,FALSE)</f>
        <v>Time 2</v>
      </c>
      <c r="D123" s="2" t="s">
        <v>22</v>
      </c>
      <c r="E123" s="2" t="s">
        <v>25</v>
      </c>
      <c r="F123" s="4">
        <v>48487501774</v>
      </c>
      <c r="G123" s="5" t="str">
        <f t="shared" si="0"/>
        <v>48487501774</v>
      </c>
      <c r="H123" s="6">
        <v>3667</v>
      </c>
      <c r="I123" s="6">
        <v>9229</v>
      </c>
      <c r="J123" s="7">
        <f t="shared" si="1"/>
        <v>0</v>
      </c>
      <c r="K123" s="7">
        <f t="shared" si="2"/>
        <v>0</v>
      </c>
      <c r="L123" s="7">
        <f t="shared" si="3"/>
        <v>0</v>
      </c>
      <c r="M123" s="7">
        <f>IFERROR(VLOOKUP(G123,'Base de faturamento'!A:C,2,FALSE),0)</f>
        <v>0</v>
      </c>
      <c r="N123" s="8">
        <f>IFERROR(VLOOKUP(G123,'Base de faturamento'!A:C,3,FALSE),0)</f>
        <v>0</v>
      </c>
      <c r="O123" s="8">
        <f t="shared" si="4"/>
        <v>32</v>
      </c>
      <c r="P123" s="9" t="b">
        <f t="shared" si="5"/>
        <v>0</v>
      </c>
    </row>
    <row r="124" spans="1:16" ht="15" x14ac:dyDescent="0.25">
      <c r="A124" s="2" t="s">
        <v>150</v>
      </c>
      <c r="B124" s="2" t="s">
        <v>29</v>
      </c>
      <c r="C124" s="3" t="str">
        <f>VLOOKUP(B124,Dados!$A$3:$B$10,2,FALSE)</f>
        <v>Time 2</v>
      </c>
      <c r="D124" s="2" t="s">
        <v>18</v>
      </c>
      <c r="E124" s="2" t="s">
        <v>19</v>
      </c>
      <c r="F124" s="4">
        <v>48811863697</v>
      </c>
      <c r="G124" s="5" t="str">
        <f t="shared" si="0"/>
        <v>48811863697</v>
      </c>
      <c r="H124" s="6">
        <v>2978</v>
      </c>
      <c r="I124" s="6">
        <v>0</v>
      </c>
      <c r="J124" s="7">
        <f t="shared" si="1"/>
        <v>2978</v>
      </c>
      <c r="K124" s="7">
        <f t="shared" si="2"/>
        <v>595.6</v>
      </c>
      <c r="L124" s="7">
        <f t="shared" si="3"/>
        <v>1</v>
      </c>
      <c r="M124" s="7">
        <f>IFERROR(VLOOKUP(G124,'Base de faturamento'!A:C,2,FALSE),0)</f>
        <v>2978</v>
      </c>
      <c r="N124" s="8">
        <f>IFERROR(VLOOKUP(G124,'Base de faturamento'!A:C,3,FALSE),0)</f>
        <v>44638</v>
      </c>
      <c r="O124" s="8">
        <f t="shared" si="4"/>
        <v>44652</v>
      </c>
      <c r="P124" s="8">
        <f t="shared" si="5"/>
        <v>44652</v>
      </c>
    </row>
    <row r="125" spans="1:16" ht="15" x14ac:dyDescent="0.25">
      <c r="A125" s="2" t="s">
        <v>151</v>
      </c>
      <c r="B125" s="2" t="s">
        <v>36</v>
      </c>
      <c r="C125" s="3" t="str">
        <f>VLOOKUP(B125,Dados!$A$3:$B$10,2,FALSE)</f>
        <v>Time 1</v>
      </c>
      <c r="D125" s="2" t="s">
        <v>22</v>
      </c>
      <c r="E125" s="2" t="s">
        <v>25</v>
      </c>
      <c r="F125" s="4">
        <v>48823560316</v>
      </c>
      <c r="G125" s="5" t="str">
        <f t="shared" si="0"/>
        <v>48823560316</v>
      </c>
      <c r="H125" s="6">
        <v>3718</v>
      </c>
      <c r="I125" s="6">
        <v>2051</v>
      </c>
      <c r="J125" s="7">
        <f t="shared" si="1"/>
        <v>1667</v>
      </c>
      <c r="K125" s="7">
        <f t="shared" si="2"/>
        <v>500.09999999999997</v>
      </c>
      <c r="L125" s="7">
        <f t="shared" si="3"/>
        <v>1</v>
      </c>
      <c r="M125" s="7">
        <f>IFERROR(VLOOKUP(G125,'Base de faturamento'!A:C,2,FALSE),0)</f>
        <v>3718</v>
      </c>
      <c r="N125" s="8">
        <f>IFERROR(VLOOKUP(G125,'Base de faturamento'!A:C,3,FALSE),0)</f>
        <v>44738</v>
      </c>
      <c r="O125" s="8">
        <f t="shared" si="4"/>
        <v>44727</v>
      </c>
      <c r="P125" s="8">
        <f t="shared" si="5"/>
        <v>44743</v>
      </c>
    </row>
    <row r="126" spans="1:16" ht="15" x14ac:dyDescent="0.25">
      <c r="A126" s="2" t="s">
        <v>152</v>
      </c>
      <c r="B126" s="2" t="s">
        <v>36</v>
      </c>
      <c r="C126" s="3" t="str">
        <f>VLOOKUP(B126,Dados!$A$3:$B$10,2,FALSE)</f>
        <v>Time 1</v>
      </c>
      <c r="D126" s="2" t="s">
        <v>22</v>
      </c>
      <c r="E126" s="2" t="s">
        <v>19</v>
      </c>
      <c r="F126" s="4">
        <v>48964718482</v>
      </c>
      <c r="G126" s="5" t="str">
        <f t="shared" si="0"/>
        <v>48964718482</v>
      </c>
      <c r="H126" s="6">
        <v>8736</v>
      </c>
      <c r="I126" s="6">
        <v>0</v>
      </c>
      <c r="J126" s="7">
        <f t="shared" si="1"/>
        <v>8736</v>
      </c>
      <c r="K126" s="7">
        <f t="shared" si="2"/>
        <v>2620.7999999999997</v>
      </c>
      <c r="L126" s="7">
        <f t="shared" si="3"/>
        <v>1</v>
      </c>
      <c r="M126" s="7">
        <f>IFERROR(VLOOKUP(G126,'Base de faturamento'!A:C,2,FALSE),0)</f>
        <v>8736</v>
      </c>
      <c r="N126" s="8">
        <f>IFERROR(VLOOKUP(G126,'Base de faturamento'!A:C,3,FALSE),0)</f>
        <v>44635</v>
      </c>
      <c r="O126" s="8">
        <f t="shared" si="4"/>
        <v>44635</v>
      </c>
      <c r="P126" s="8">
        <f t="shared" si="5"/>
        <v>44652</v>
      </c>
    </row>
    <row r="127" spans="1:16" ht="15" x14ac:dyDescent="0.25">
      <c r="A127" s="2" t="s">
        <v>153</v>
      </c>
      <c r="B127" s="2" t="s">
        <v>27</v>
      </c>
      <c r="C127" s="3" t="str">
        <f>VLOOKUP(B127,Dados!$A$3:$B$10,2,FALSE)</f>
        <v>Time 2</v>
      </c>
      <c r="D127" s="2" t="s">
        <v>18</v>
      </c>
      <c r="E127" s="2" t="s">
        <v>25</v>
      </c>
      <c r="F127" s="4">
        <v>49409975467</v>
      </c>
      <c r="G127" s="5" t="str">
        <f t="shared" si="0"/>
        <v>49409975467</v>
      </c>
      <c r="H127" s="6">
        <v>7472</v>
      </c>
      <c r="I127" s="6">
        <v>3952</v>
      </c>
      <c r="J127" s="7">
        <f t="shared" si="1"/>
        <v>3520</v>
      </c>
      <c r="K127" s="7">
        <f t="shared" si="2"/>
        <v>704</v>
      </c>
      <c r="L127" s="7">
        <f t="shared" si="3"/>
        <v>1</v>
      </c>
      <c r="M127" s="7">
        <f>IFERROR(VLOOKUP(G127,'Base de faturamento'!A:C,2,FALSE),0)</f>
        <v>7472</v>
      </c>
      <c r="N127" s="8">
        <f>IFERROR(VLOOKUP(G127,'Base de faturamento'!A:C,3,FALSE),0)</f>
        <v>44734</v>
      </c>
      <c r="O127" s="8">
        <f t="shared" si="4"/>
        <v>44743</v>
      </c>
      <c r="P127" s="8">
        <f t="shared" si="5"/>
        <v>44743</v>
      </c>
    </row>
    <row r="128" spans="1:16" ht="15" x14ac:dyDescent="0.25">
      <c r="A128" s="2" t="s">
        <v>154</v>
      </c>
      <c r="B128" s="2" t="s">
        <v>36</v>
      </c>
      <c r="C128" s="3" t="str">
        <f>VLOOKUP(B128,Dados!$A$3:$B$10,2,FALSE)</f>
        <v>Time 1</v>
      </c>
      <c r="D128" s="2" t="s">
        <v>18</v>
      </c>
      <c r="E128" s="2" t="s">
        <v>19</v>
      </c>
      <c r="F128" s="4">
        <v>49906016636</v>
      </c>
      <c r="G128" s="5" t="str">
        <f t="shared" si="0"/>
        <v>49906016636</v>
      </c>
      <c r="H128" s="6">
        <v>4407</v>
      </c>
      <c r="I128" s="6">
        <v>0</v>
      </c>
      <c r="J128" s="7">
        <f t="shared" si="1"/>
        <v>4407</v>
      </c>
      <c r="K128" s="7">
        <f t="shared" si="2"/>
        <v>881.40000000000009</v>
      </c>
      <c r="L128" s="7">
        <f t="shared" si="3"/>
        <v>1</v>
      </c>
      <c r="M128" s="7">
        <f>IFERROR(VLOOKUP(G128,'Base de faturamento'!A:C,2,FALSE),0)</f>
        <v>4407</v>
      </c>
      <c r="N128" s="8">
        <f>IFERROR(VLOOKUP(G128,'Base de faturamento'!A:C,3,FALSE),0)</f>
        <v>44650</v>
      </c>
      <c r="O128" s="8">
        <f t="shared" si="4"/>
        <v>44635</v>
      </c>
      <c r="P128" s="8">
        <f t="shared" si="5"/>
        <v>44652</v>
      </c>
    </row>
    <row r="129" spans="1:16" ht="15" x14ac:dyDescent="0.25">
      <c r="A129" s="2" t="s">
        <v>155</v>
      </c>
      <c r="B129" s="2" t="s">
        <v>27</v>
      </c>
      <c r="C129" s="3" t="str">
        <f>VLOOKUP(B129,Dados!$A$3:$B$10,2,FALSE)</f>
        <v>Time 2</v>
      </c>
      <c r="D129" s="2" t="s">
        <v>18</v>
      </c>
      <c r="E129" s="2" t="s">
        <v>25</v>
      </c>
      <c r="F129" s="4">
        <v>50124645992</v>
      </c>
      <c r="G129" s="5" t="str">
        <f t="shared" si="0"/>
        <v>50124645992</v>
      </c>
      <c r="H129" s="6">
        <v>5893</v>
      </c>
      <c r="I129" s="6">
        <v>5475</v>
      </c>
      <c r="J129" s="7">
        <f t="shared" si="1"/>
        <v>418</v>
      </c>
      <c r="K129" s="7">
        <f t="shared" si="2"/>
        <v>83.600000000000009</v>
      </c>
      <c r="L129" s="7">
        <f t="shared" si="3"/>
        <v>1</v>
      </c>
      <c r="M129" s="7">
        <f>IFERROR(VLOOKUP(G129,'Base de faturamento'!A:C,2,FALSE),0)</f>
        <v>5893</v>
      </c>
      <c r="N129" s="8">
        <f>IFERROR(VLOOKUP(G129,'Base de faturamento'!A:C,3,FALSE),0)</f>
        <v>44689</v>
      </c>
      <c r="O129" s="8">
        <f t="shared" si="4"/>
        <v>44713</v>
      </c>
      <c r="P129" s="8">
        <f t="shared" si="5"/>
        <v>44713</v>
      </c>
    </row>
    <row r="130" spans="1:16" ht="15" x14ac:dyDescent="0.25">
      <c r="A130" s="2" t="s">
        <v>156</v>
      </c>
      <c r="B130" s="2" t="s">
        <v>31</v>
      </c>
      <c r="C130" s="3" t="str">
        <f>VLOOKUP(B130,Dados!$A$3:$B$10,2,FALSE)</f>
        <v>Time 3</v>
      </c>
      <c r="D130" s="2" t="s">
        <v>22</v>
      </c>
      <c r="E130" s="2" t="s">
        <v>19</v>
      </c>
      <c r="F130" s="4">
        <v>50141660184</v>
      </c>
      <c r="G130" s="5" t="str">
        <f t="shared" si="0"/>
        <v>50141660184</v>
      </c>
      <c r="H130" s="6">
        <v>1817</v>
      </c>
      <c r="I130" s="6">
        <v>0</v>
      </c>
      <c r="J130" s="7">
        <f t="shared" si="1"/>
        <v>1817</v>
      </c>
      <c r="K130" s="7">
        <f t="shared" si="2"/>
        <v>545.1</v>
      </c>
      <c r="L130" s="7">
        <f t="shared" si="3"/>
        <v>1</v>
      </c>
      <c r="M130" s="7">
        <f>IFERROR(VLOOKUP(G130,'Base de faturamento'!A:C,2,FALSE),0)</f>
        <v>1817</v>
      </c>
      <c r="N130" s="8">
        <f>IFERROR(VLOOKUP(G130,'Base de faturamento'!A:C,3,FALSE),0)</f>
        <v>44713</v>
      </c>
      <c r="O130" s="8">
        <f t="shared" si="4"/>
        <v>44743</v>
      </c>
      <c r="P130" s="8">
        <f t="shared" si="5"/>
        <v>44743</v>
      </c>
    </row>
    <row r="131" spans="1:16" ht="15" x14ac:dyDescent="0.25">
      <c r="A131" s="2" t="s">
        <v>157</v>
      </c>
      <c r="B131" s="2" t="s">
        <v>21</v>
      </c>
      <c r="C131" s="3" t="str">
        <f>VLOOKUP(B131,Dados!$A$3:$B$10,2,FALSE)</f>
        <v>Time 1</v>
      </c>
      <c r="D131" s="2" t="s">
        <v>22</v>
      </c>
      <c r="E131" s="2" t="s">
        <v>25</v>
      </c>
      <c r="F131" s="4">
        <v>50846615899</v>
      </c>
      <c r="G131" s="5" t="str">
        <f t="shared" si="0"/>
        <v>50846615899</v>
      </c>
      <c r="H131" s="6">
        <v>5217</v>
      </c>
      <c r="I131" s="6">
        <v>2024</v>
      </c>
      <c r="J131" s="7">
        <f t="shared" si="1"/>
        <v>3193</v>
      </c>
      <c r="K131" s="7">
        <f t="shared" si="2"/>
        <v>957.9</v>
      </c>
      <c r="L131" s="7">
        <f t="shared" si="3"/>
        <v>1</v>
      </c>
      <c r="M131" s="7">
        <f>IFERROR(VLOOKUP(G131,'Base de faturamento'!A:C,2,FALSE),0)</f>
        <v>5217</v>
      </c>
      <c r="N131" s="8">
        <f>IFERROR(VLOOKUP(G131,'Base de faturamento'!A:C,3,FALSE),0)</f>
        <v>44670</v>
      </c>
      <c r="O131" s="8">
        <f t="shared" si="4"/>
        <v>44666</v>
      </c>
      <c r="P131" s="8">
        <f t="shared" si="5"/>
        <v>44682</v>
      </c>
    </row>
    <row r="132" spans="1:16" ht="15" x14ac:dyDescent="0.25">
      <c r="A132" s="2" t="s">
        <v>158</v>
      </c>
      <c r="B132" s="2" t="s">
        <v>33</v>
      </c>
      <c r="C132" s="3" t="str">
        <f>VLOOKUP(B132,Dados!$A$3:$B$10,2,FALSE)</f>
        <v>Time 1</v>
      </c>
      <c r="D132" s="2" t="s">
        <v>18</v>
      </c>
      <c r="E132" s="2" t="s">
        <v>25</v>
      </c>
      <c r="F132" s="4">
        <v>51770552315</v>
      </c>
      <c r="G132" s="5" t="str">
        <f t="shared" si="0"/>
        <v>51770552315</v>
      </c>
      <c r="H132" s="6">
        <v>5969</v>
      </c>
      <c r="I132" s="6">
        <v>6289</v>
      </c>
      <c r="J132" s="7">
        <f t="shared" si="1"/>
        <v>0</v>
      </c>
      <c r="K132" s="7">
        <f t="shared" si="2"/>
        <v>0</v>
      </c>
      <c r="L132" s="7">
        <f t="shared" si="3"/>
        <v>1</v>
      </c>
      <c r="M132" s="7">
        <f>IFERROR(VLOOKUP(G132,'Base de faturamento'!A:C,2,FALSE),0)</f>
        <v>5969</v>
      </c>
      <c r="N132" s="8">
        <f>IFERROR(VLOOKUP(G132,'Base de faturamento'!A:C,3,FALSE),0)</f>
        <v>44624</v>
      </c>
      <c r="O132" s="8">
        <f t="shared" si="4"/>
        <v>44635</v>
      </c>
      <c r="P132" s="8">
        <f t="shared" si="5"/>
        <v>44652</v>
      </c>
    </row>
    <row r="133" spans="1:16" ht="15" x14ac:dyDescent="0.25">
      <c r="A133" s="2" t="s">
        <v>159</v>
      </c>
      <c r="B133" s="2" t="s">
        <v>33</v>
      </c>
      <c r="C133" s="3" t="str">
        <f>VLOOKUP(B133,Dados!$A$3:$B$10,2,FALSE)</f>
        <v>Time 1</v>
      </c>
      <c r="D133" s="2" t="s">
        <v>18</v>
      </c>
      <c r="E133" s="2" t="s">
        <v>19</v>
      </c>
      <c r="F133" s="4">
        <v>51914464187</v>
      </c>
      <c r="G133" s="5" t="str">
        <f t="shared" si="0"/>
        <v>51914464187</v>
      </c>
      <c r="H133" s="6">
        <v>2683</v>
      </c>
      <c r="I133" s="6">
        <v>0</v>
      </c>
      <c r="J133" s="7">
        <f t="shared" si="1"/>
        <v>2683</v>
      </c>
      <c r="K133" s="7">
        <f t="shared" si="2"/>
        <v>536.6</v>
      </c>
      <c r="L133" s="7">
        <f t="shared" si="3"/>
        <v>1</v>
      </c>
      <c r="M133" s="7">
        <f>IFERROR(VLOOKUP(G133,'Base de faturamento'!A:C,2,FALSE),0)</f>
        <v>2683</v>
      </c>
      <c r="N133" s="8">
        <f>IFERROR(VLOOKUP(G133,'Base de faturamento'!A:C,3,FALSE),0)</f>
        <v>44659</v>
      </c>
      <c r="O133" s="8">
        <f t="shared" si="4"/>
        <v>44666</v>
      </c>
      <c r="P133" s="8">
        <f t="shared" si="5"/>
        <v>44682</v>
      </c>
    </row>
    <row r="134" spans="1:16" ht="15" x14ac:dyDescent="0.25">
      <c r="A134" s="2" t="s">
        <v>160</v>
      </c>
      <c r="B134" s="2" t="s">
        <v>17</v>
      </c>
      <c r="C134" s="3" t="str">
        <f>VLOOKUP(B134,Dados!$A$3:$B$10,2,FALSE)</f>
        <v>Time 3</v>
      </c>
      <c r="D134" s="2" t="s">
        <v>22</v>
      </c>
      <c r="E134" s="2" t="s">
        <v>25</v>
      </c>
      <c r="F134" s="4">
        <v>52488357799</v>
      </c>
      <c r="G134" s="5" t="str">
        <f t="shared" si="0"/>
        <v>52488357799</v>
      </c>
      <c r="H134" s="6">
        <v>5691</v>
      </c>
      <c r="I134" s="6">
        <v>1329</v>
      </c>
      <c r="J134" s="7">
        <f t="shared" si="1"/>
        <v>4362</v>
      </c>
      <c r="K134" s="7">
        <f t="shared" si="2"/>
        <v>1308.5999999999999</v>
      </c>
      <c r="L134" s="7">
        <f t="shared" si="3"/>
        <v>1</v>
      </c>
      <c r="M134" s="7">
        <f>IFERROR(VLOOKUP(G134,'Base de faturamento'!A:C,2,FALSE),0)</f>
        <v>5691</v>
      </c>
      <c r="N134" s="8">
        <f>IFERROR(VLOOKUP(G134,'Base de faturamento'!A:C,3,FALSE),0)</f>
        <v>44731</v>
      </c>
      <c r="O134" s="8">
        <f t="shared" si="4"/>
        <v>44743</v>
      </c>
      <c r="P134" s="8">
        <f t="shared" si="5"/>
        <v>44743</v>
      </c>
    </row>
    <row r="135" spans="1:16" ht="15" x14ac:dyDescent="0.25">
      <c r="A135" s="2" t="s">
        <v>161</v>
      </c>
      <c r="B135" s="2" t="s">
        <v>36</v>
      </c>
      <c r="C135" s="3" t="str">
        <f>VLOOKUP(B135,Dados!$A$3:$B$10,2,FALSE)</f>
        <v>Time 1</v>
      </c>
      <c r="D135" s="2" t="s">
        <v>18</v>
      </c>
      <c r="E135" s="2" t="s">
        <v>19</v>
      </c>
      <c r="F135" s="4">
        <v>52527862981</v>
      </c>
      <c r="G135" s="5" t="str">
        <f t="shared" si="0"/>
        <v>52527862981</v>
      </c>
      <c r="H135" s="6">
        <v>4138</v>
      </c>
      <c r="I135" s="6">
        <v>0</v>
      </c>
      <c r="J135" s="7">
        <f t="shared" si="1"/>
        <v>4138</v>
      </c>
      <c r="K135" s="7">
        <f t="shared" si="2"/>
        <v>827.6</v>
      </c>
      <c r="L135" s="7">
        <f t="shared" si="3"/>
        <v>1</v>
      </c>
      <c r="M135" s="7">
        <f>IFERROR(VLOOKUP(G135,'Base de faturamento'!A:C,2,FALSE),0)</f>
        <v>4138</v>
      </c>
      <c r="N135" s="8">
        <f>IFERROR(VLOOKUP(G135,'Base de faturamento'!A:C,3,FALSE),0)</f>
        <v>44633</v>
      </c>
      <c r="O135" s="8">
        <f t="shared" si="4"/>
        <v>44635</v>
      </c>
      <c r="P135" s="8">
        <f t="shared" si="5"/>
        <v>44652</v>
      </c>
    </row>
    <row r="136" spans="1:16" ht="15" x14ac:dyDescent="0.25">
      <c r="A136" s="2" t="s">
        <v>162</v>
      </c>
      <c r="B136" s="2" t="s">
        <v>36</v>
      </c>
      <c r="C136" s="3" t="str">
        <f>VLOOKUP(B136,Dados!$A$3:$B$10,2,FALSE)</f>
        <v>Time 1</v>
      </c>
      <c r="D136" s="2" t="s">
        <v>18</v>
      </c>
      <c r="E136" s="2" t="s">
        <v>25</v>
      </c>
      <c r="F136" s="4">
        <v>53031845277</v>
      </c>
      <c r="G136" s="5" t="str">
        <f t="shared" si="0"/>
        <v>53031845277</v>
      </c>
      <c r="H136" s="6">
        <v>6766</v>
      </c>
      <c r="I136" s="6">
        <v>2013</v>
      </c>
      <c r="J136" s="7">
        <f t="shared" si="1"/>
        <v>4753</v>
      </c>
      <c r="K136" s="7">
        <f t="shared" si="2"/>
        <v>950.6</v>
      </c>
      <c r="L136" s="7">
        <f t="shared" si="3"/>
        <v>1</v>
      </c>
      <c r="M136" s="7">
        <f>IFERROR(VLOOKUP(G136,'Base de faturamento'!A:C,2,FALSE),0)</f>
        <v>6766</v>
      </c>
      <c r="N136" s="8">
        <f>IFERROR(VLOOKUP(G136,'Base de faturamento'!A:C,3,FALSE),0)</f>
        <v>44722</v>
      </c>
      <c r="O136" s="8">
        <f t="shared" si="4"/>
        <v>44727</v>
      </c>
      <c r="P136" s="8">
        <f t="shared" si="5"/>
        <v>44743</v>
      </c>
    </row>
    <row r="137" spans="1:16" ht="15" x14ac:dyDescent="0.25">
      <c r="A137" s="2" t="s">
        <v>163</v>
      </c>
      <c r="B137" s="2" t="s">
        <v>31</v>
      </c>
      <c r="C137" s="3" t="str">
        <f>VLOOKUP(B137,Dados!$A$3:$B$10,2,FALSE)</f>
        <v>Time 3</v>
      </c>
      <c r="D137" s="2" t="s">
        <v>22</v>
      </c>
      <c r="E137" s="2" t="s">
        <v>25</v>
      </c>
      <c r="F137" s="4">
        <v>53394487378</v>
      </c>
      <c r="G137" s="5" t="str">
        <f t="shared" si="0"/>
        <v>53394487378</v>
      </c>
      <c r="H137" s="6">
        <v>3373</v>
      </c>
      <c r="I137" s="6">
        <v>6660</v>
      </c>
      <c r="J137" s="7">
        <f t="shared" si="1"/>
        <v>0</v>
      </c>
      <c r="K137" s="7">
        <f t="shared" si="2"/>
        <v>0</v>
      </c>
      <c r="L137" s="7">
        <f t="shared" si="3"/>
        <v>1</v>
      </c>
      <c r="M137" s="7">
        <f>IFERROR(VLOOKUP(G137,'Base de faturamento'!A:C,2,FALSE),0)</f>
        <v>3373</v>
      </c>
      <c r="N137" s="8">
        <f>IFERROR(VLOOKUP(G137,'Base de faturamento'!A:C,3,FALSE),0)</f>
        <v>44724</v>
      </c>
      <c r="O137" s="8">
        <f t="shared" si="4"/>
        <v>44743</v>
      </c>
      <c r="P137" s="8">
        <f t="shared" si="5"/>
        <v>44743</v>
      </c>
    </row>
    <row r="138" spans="1:16" ht="15" x14ac:dyDescent="0.25">
      <c r="A138" s="2" t="s">
        <v>164</v>
      </c>
      <c r="B138" s="2" t="s">
        <v>36</v>
      </c>
      <c r="C138" s="3" t="str">
        <f>VLOOKUP(B138,Dados!$A$3:$B$10,2,FALSE)</f>
        <v>Time 1</v>
      </c>
      <c r="D138" s="2" t="s">
        <v>18</v>
      </c>
      <c r="E138" s="2" t="s">
        <v>25</v>
      </c>
      <c r="F138" s="4">
        <v>54387614900</v>
      </c>
      <c r="G138" s="5" t="str">
        <f t="shared" si="0"/>
        <v>54387614900</v>
      </c>
      <c r="H138" s="6">
        <v>3895</v>
      </c>
      <c r="I138" s="6">
        <v>5963</v>
      </c>
      <c r="J138" s="7">
        <f t="shared" si="1"/>
        <v>0</v>
      </c>
      <c r="K138" s="7">
        <f t="shared" si="2"/>
        <v>0</v>
      </c>
      <c r="L138" s="7">
        <f t="shared" si="3"/>
        <v>1</v>
      </c>
      <c r="M138" s="7">
        <f>IFERROR(VLOOKUP(G138,'Base de faturamento'!A:C,2,FALSE),0)</f>
        <v>3895</v>
      </c>
      <c r="N138" s="8">
        <f>IFERROR(VLOOKUP(G138,'Base de faturamento'!A:C,3,FALSE),0)</f>
        <v>44684</v>
      </c>
      <c r="O138" s="8">
        <f t="shared" si="4"/>
        <v>44696</v>
      </c>
      <c r="P138" s="8">
        <f t="shared" si="5"/>
        <v>44713</v>
      </c>
    </row>
    <row r="139" spans="1:16" ht="15" x14ac:dyDescent="0.25">
      <c r="A139" s="2" t="s">
        <v>165</v>
      </c>
      <c r="B139" s="2" t="s">
        <v>33</v>
      </c>
      <c r="C139" s="3" t="str">
        <f>VLOOKUP(B139,Dados!$A$3:$B$10,2,FALSE)</f>
        <v>Time 1</v>
      </c>
      <c r="D139" s="2" t="s">
        <v>18</v>
      </c>
      <c r="E139" s="2" t="s">
        <v>25</v>
      </c>
      <c r="F139" s="4">
        <v>54527343156</v>
      </c>
      <c r="G139" s="5" t="str">
        <f t="shared" si="0"/>
        <v>54527343156</v>
      </c>
      <c r="H139" s="6">
        <v>4323</v>
      </c>
      <c r="I139" s="6">
        <v>8218</v>
      </c>
      <c r="J139" s="7">
        <f t="shared" si="1"/>
        <v>0</v>
      </c>
      <c r="K139" s="7">
        <f t="shared" si="2"/>
        <v>0</v>
      </c>
      <c r="L139" s="7">
        <f t="shared" si="3"/>
        <v>1</v>
      </c>
      <c r="M139" s="7">
        <f>IFERROR(VLOOKUP(G139,'Base de faturamento'!A:C,2,FALSE),0)</f>
        <v>4323</v>
      </c>
      <c r="N139" s="8">
        <f>IFERROR(VLOOKUP(G139,'Base de faturamento'!A:C,3,FALSE),0)</f>
        <v>44691</v>
      </c>
      <c r="O139" s="8">
        <f t="shared" si="4"/>
        <v>44696</v>
      </c>
      <c r="P139" s="8">
        <f t="shared" si="5"/>
        <v>44713</v>
      </c>
    </row>
    <row r="140" spans="1:16" ht="15" x14ac:dyDescent="0.25">
      <c r="A140" s="2" t="s">
        <v>166</v>
      </c>
      <c r="B140" s="2" t="s">
        <v>36</v>
      </c>
      <c r="C140" s="3" t="str">
        <f>VLOOKUP(B140,Dados!$A$3:$B$10,2,FALSE)</f>
        <v>Time 1</v>
      </c>
      <c r="D140" s="2" t="s">
        <v>18</v>
      </c>
      <c r="E140" s="2" t="s">
        <v>25</v>
      </c>
      <c r="F140" s="4">
        <v>54720744853</v>
      </c>
      <c r="G140" s="5" t="str">
        <f t="shared" si="0"/>
        <v>54720744853</v>
      </c>
      <c r="H140" s="6">
        <v>7964</v>
      </c>
      <c r="I140" s="6">
        <v>6908</v>
      </c>
      <c r="J140" s="7">
        <f t="shared" si="1"/>
        <v>1056</v>
      </c>
      <c r="K140" s="7">
        <f t="shared" si="2"/>
        <v>211.20000000000002</v>
      </c>
      <c r="L140" s="7">
        <f t="shared" si="3"/>
        <v>1</v>
      </c>
      <c r="M140" s="7">
        <f>IFERROR(VLOOKUP(G140,'Base de faturamento'!A:C,2,FALSE),0)</f>
        <v>7964</v>
      </c>
      <c r="N140" s="8">
        <f>IFERROR(VLOOKUP(G140,'Base de faturamento'!A:C,3,FALSE),0)</f>
        <v>44681</v>
      </c>
      <c r="O140" s="8">
        <f t="shared" si="4"/>
        <v>44666</v>
      </c>
      <c r="P140" s="8">
        <f t="shared" si="5"/>
        <v>44682</v>
      </c>
    </row>
    <row r="141" spans="1:16" ht="15" x14ac:dyDescent="0.25">
      <c r="A141" s="2" t="s">
        <v>167</v>
      </c>
      <c r="B141" s="2" t="s">
        <v>24</v>
      </c>
      <c r="C141" s="3" t="str">
        <f>VLOOKUP(B141,Dados!$A$3:$B$10,2,FALSE)</f>
        <v>Time 2</v>
      </c>
      <c r="D141" s="2" t="s">
        <v>22</v>
      </c>
      <c r="E141" s="2" t="s">
        <v>25</v>
      </c>
      <c r="F141" s="4">
        <v>54904928546</v>
      </c>
      <c r="G141" s="5" t="str">
        <f t="shared" si="0"/>
        <v>54904928546</v>
      </c>
      <c r="H141" s="6">
        <v>1833</v>
      </c>
      <c r="I141" s="6">
        <v>7204</v>
      </c>
      <c r="J141" s="7">
        <f t="shared" si="1"/>
        <v>0</v>
      </c>
      <c r="K141" s="7">
        <f t="shared" si="2"/>
        <v>0</v>
      </c>
      <c r="L141" s="7">
        <f t="shared" si="3"/>
        <v>0</v>
      </c>
      <c r="M141" s="7">
        <f>IFERROR(VLOOKUP(G141,'Base de faturamento'!A:C,2,FALSE),0)</f>
        <v>0</v>
      </c>
      <c r="N141" s="8">
        <f>IFERROR(VLOOKUP(G141,'Base de faturamento'!A:C,3,FALSE),0)</f>
        <v>0</v>
      </c>
      <c r="O141" s="8">
        <f t="shared" si="4"/>
        <v>32</v>
      </c>
      <c r="P141" s="9" t="b">
        <f t="shared" si="5"/>
        <v>0</v>
      </c>
    </row>
    <row r="142" spans="1:16" ht="15" x14ac:dyDescent="0.25">
      <c r="A142" s="2" t="s">
        <v>168</v>
      </c>
      <c r="B142" s="2" t="s">
        <v>27</v>
      </c>
      <c r="C142" s="3" t="str">
        <f>VLOOKUP(B142,Dados!$A$3:$B$10,2,FALSE)</f>
        <v>Time 2</v>
      </c>
      <c r="D142" s="2" t="s">
        <v>22</v>
      </c>
      <c r="E142" s="2" t="s">
        <v>19</v>
      </c>
      <c r="F142" s="4">
        <v>55213164091</v>
      </c>
      <c r="G142" s="5" t="str">
        <f t="shared" si="0"/>
        <v>55213164091</v>
      </c>
      <c r="H142" s="6">
        <v>1756</v>
      </c>
      <c r="I142" s="6">
        <v>0</v>
      </c>
      <c r="J142" s="7">
        <f t="shared" si="1"/>
        <v>1756</v>
      </c>
      <c r="K142" s="7">
        <f t="shared" si="2"/>
        <v>526.79999999999995</v>
      </c>
      <c r="L142" s="7">
        <f t="shared" si="3"/>
        <v>1</v>
      </c>
      <c r="M142" s="7">
        <f>IFERROR(VLOOKUP(G142,'Base de faturamento'!A:C,2,FALSE),0)</f>
        <v>1756</v>
      </c>
      <c r="N142" s="8">
        <f>IFERROR(VLOOKUP(G142,'Base de faturamento'!A:C,3,FALSE),0)</f>
        <v>44696</v>
      </c>
      <c r="O142" s="8">
        <f t="shared" si="4"/>
        <v>44713</v>
      </c>
      <c r="P142" s="8">
        <f t="shared" si="5"/>
        <v>44713</v>
      </c>
    </row>
    <row r="143" spans="1:16" ht="15" x14ac:dyDescent="0.25">
      <c r="A143" s="2" t="s">
        <v>169</v>
      </c>
      <c r="B143" s="2" t="s">
        <v>29</v>
      </c>
      <c r="C143" s="3" t="str">
        <f>VLOOKUP(B143,Dados!$A$3:$B$10,2,FALSE)</f>
        <v>Time 2</v>
      </c>
      <c r="D143" s="2" t="s">
        <v>22</v>
      </c>
      <c r="E143" s="2" t="s">
        <v>19</v>
      </c>
      <c r="F143" s="4">
        <v>55421503183</v>
      </c>
      <c r="G143" s="5" t="str">
        <f t="shared" si="0"/>
        <v>55421503183</v>
      </c>
      <c r="H143" s="6">
        <v>1370</v>
      </c>
      <c r="I143" s="6">
        <v>0</v>
      </c>
      <c r="J143" s="7">
        <f t="shared" si="1"/>
        <v>1370</v>
      </c>
      <c r="K143" s="7">
        <f t="shared" si="2"/>
        <v>411</v>
      </c>
      <c r="L143" s="7">
        <f t="shared" si="3"/>
        <v>1</v>
      </c>
      <c r="M143" s="7">
        <f>IFERROR(VLOOKUP(G143,'Base de faturamento'!A:C,2,FALSE),0)</f>
        <v>1370</v>
      </c>
      <c r="N143" s="8">
        <f>IFERROR(VLOOKUP(G143,'Base de faturamento'!A:C,3,FALSE),0)</f>
        <v>44645</v>
      </c>
      <c r="O143" s="8">
        <f t="shared" si="4"/>
        <v>44652</v>
      </c>
      <c r="P143" s="8">
        <f t="shared" si="5"/>
        <v>44652</v>
      </c>
    </row>
    <row r="144" spans="1:16" ht="15" x14ac:dyDescent="0.25">
      <c r="A144" s="2" t="s">
        <v>170</v>
      </c>
      <c r="B144" s="2" t="s">
        <v>29</v>
      </c>
      <c r="C144" s="3" t="str">
        <f>VLOOKUP(B144,Dados!$A$3:$B$10,2,FALSE)</f>
        <v>Time 2</v>
      </c>
      <c r="D144" s="2" t="s">
        <v>18</v>
      </c>
      <c r="E144" s="2" t="s">
        <v>25</v>
      </c>
      <c r="F144" s="4">
        <v>55701753285</v>
      </c>
      <c r="G144" s="5" t="str">
        <f t="shared" si="0"/>
        <v>55701753285</v>
      </c>
      <c r="H144" s="6">
        <v>6101</v>
      </c>
      <c r="I144" s="6">
        <v>6537</v>
      </c>
      <c r="J144" s="7">
        <f t="shared" si="1"/>
        <v>0</v>
      </c>
      <c r="K144" s="7">
        <f t="shared" si="2"/>
        <v>0</v>
      </c>
      <c r="L144" s="7">
        <f t="shared" si="3"/>
        <v>1</v>
      </c>
      <c r="M144" s="7">
        <f>IFERROR(VLOOKUP(G144,'Base de faturamento'!A:C,2,FALSE),0)</f>
        <v>6101</v>
      </c>
      <c r="N144" s="8">
        <f>IFERROR(VLOOKUP(G144,'Base de faturamento'!A:C,3,FALSE),0)</f>
        <v>44697</v>
      </c>
      <c r="O144" s="8">
        <f t="shared" si="4"/>
        <v>44713</v>
      </c>
      <c r="P144" s="8">
        <f t="shared" si="5"/>
        <v>44713</v>
      </c>
    </row>
    <row r="145" spans="1:16" ht="15" x14ac:dyDescent="0.25">
      <c r="A145" s="2" t="s">
        <v>171</v>
      </c>
      <c r="B145" s="2" t="s">
        <v>36</v>
      </c>
      <c r="C145" s="3" t="str">
        <f>VLOOKUP(B145,Dados!$A$3:$B$10,2,FALSE)</f>
        <v>Time 1</v>
      </c>
      <c r="D145" s="2" t="s">
        <v>18</v>
      </c>
      <c r="E145" s="2" t="s">
        <v>19</v>
      </c>
      <c r="F145" s="4">
        <v>55844180898</v>
      </c>
      <c r="G145" s="5" t="str">
        <f t="shared" si="0"/>
        <v>55844180898</v>
      </c>
      <c r="H145" s="6">
        <v>1547</v>
      </c>
      <c r="I145" s="6">
        <v>0</v>
      </c>
      <c r="J145" s="7">
        <f t="shared" si="1"/>
        <v>1547</v>
      </c>
      <c r="K145" s="7">
        <f t="shared" si="2"/>
        <v>309.40000000000003</v>
      </c>
      <c r="L145" s="7">
        <f t="shared" si="3"/>
        <v>1</v>
      </c>
      <c r="M145" s="7">
        <f>IFERROR(VLOOKUP(G145,'Base de faturamento'!A:C,2,FALSE),0)</f>
        <v>1547</v>
      </c>
      <c r="N145" s="8">
        <f>IFERROR(VLOOKUP(G145,'Base de faturamento'!A:C,3,FALSE),0)</f>
        <v>44736</v>
      </c>
      <c r="O145" s="8">
        <f t="shared" si="4"/>
        <v>44727</v>
      </c>
      <c r="P145" s="8">
        <f t="shared" si="5"/>
        <v>44743</v>
      </c>
    </row>
    <row r="146" spans="1:16" ht="15" x14ac:dyDescent="0.25">
      <c r="A146" s="2" t="s">
        <v>172</v>
      </c>
      <c r="B146" s="2" t="s">
        <v>29</v>
      </c>
      <c r="C146" s="3" t="str">
        <f>VLOOKUP(B146,Dados!$A$3:$B$10,2,FALSE)</f>
        <v>Time 2</v>
      </c>
      <c r="D146" s="2" t="s">
        <v>18</v>
      </c>
      <c r="E146" s="2" t="s">
        <v>19</v>
      </c>
      <c r="F146" s="4">
        <v>56240613943</v>
      </c>
      <c r="G146" s="5" t="str">
        <f t="shared" si="0"/>
        <v>56240613943</v>
      </c>
      <c r="H146" s="6">
        <v>8985</v>
      </c>
      <c r="I146" s="6">
        <v>0</v>
      </c>
      <c r="J146" s="7">
        <f t="shared" si="1"/>
        <v>8985</v>
      </c>
      <c r="K146" s="7">
        <f t="shared" si="2"/>
        <v>1797</v>
      </c>
      <c r="L146" s="7">
        <f t="shared" si="3"/>
        <v>1</v>
      </c>
      <c r="M146" s="7">
        <f>IFERROR(VLOOKUP(G146,'Base de faturamento'!A:C,2,FALSE),0)</f>
        <v>8985</v>
      </c>
      <c r="N146" s="8">
        <f>IFERROR(VLOOKUP(G146,'Base de faturamento'!A:C,3,FALSE),0)</f>
        <v>44670</v>
      </c>
      <c r="O146" s="8">
        <f t="shared" si="4"/>
        <v>44682</v>
      </c>
      <c r="P146" s="8">
        <f t="shared" si="5"/>
        <v>44682</v>
      </c>
    </row>
    <row r="147" spans="1:16" ht="15" x14ac:dyDescent="0.25">
      <c r="A147" s="2" t="s">
        <v>173</v>
      </c>
      <c r="B147" s="2" t="s">
        <v>36</v>
      </c>
      <c r="C147" s="3" t="str">
        <f>VLOOKUP(B147,Dados!$A$3:$B$10,2,FALSE)</f>
        <v>Time 1</v>
      </c>
      <c r="D147" s="2" t="s">
        <v>22</v>
      </c>
      <c r="E147" s="2" t="s">
        <v>25</v>
      </c>
      <c r="F147" s="4">
        <v>56599553971</v>
      </c>
      <c r="G147" s="5" t="str">
        <f t="shared" si="0"/>
        <v>56599553971</v>
      </c>
      <c r="H147" s="6">
        <v>9005</v>
      </c>
      <c r="I147" s="6">
        <v>8693</v>
      </c>
      <c r="J147" s="7">
        <f t="shared" si="1"/>
        <v>312</v>
      </c>
      <c r="K147" s="7">
        <f t="shared" si="2"/>
        <v>0</v>
      </c>
      <c r="L147" s="7">
        <f t="shared" si="3"/>
        <v>0</v>
      </c>
      <c r="M147" s="7">
        <f>IFERROR(VLOOKUP(G147,'Base de faturamento'!A:C,2,FALSE),0)</f>
        <v>0</v>
      </c>
      <c r="N147" s="8">
        <f>IFERROR(VLOOKUP(G147,'Base de faturamento'!A:C,3,FALSE),0)</f>
        <v>0</v>
      </c>
      <c r="O147" s="8">
        <f t="shared" si="4"/>
        <v>15</v>
      </c>
      <c r="P147" s="9" t="b">
        <f t="shared" si="5"/>
        <v>0</v>
      </c>
    </row>
    <row r="148" spans="1:16" ht="15" x14ac:dyDescent="0.25">
      <c r="A148" s="2" t="s">
        <v>174</v>
      </c>
      <c r="B148" s="2" t="s">
        <v>36</v>
      </c>
      <c r="C148" s="3" t="str">
        <f>VLOOKUP(B148,Dados!$A$3:$B$10,2,FALSE)</f>
        <v>Time 1</v>
      </c>
      <c r="D148" s="2" t="s">
        <v>22</v>
      </c>
      <c r="E148" s="2" t="s">
        <v>25</v>
      </c>
      <c r="F148" s="4">
        <v>57413657804</v>
      </c>
      <c r="G148" s="5" t="str">
        <f t="shared" si="0"/>
        <v>57413657804</v>
      </c>
      <c r="H148" s="6">
        <v>2167</v>
      </c>
      <c r="I148" s="6">
        <v>1512</v>
      </c>
      <c r="J148" s="7">
        <f t="shared" si="1"/>
        <v>655</v>
      </c>
      <c r="K148" s="7">
        <f t="shared" si="2"/>
        <v>196.5</v>
      </c>
      <c r="L148" s="7">
        <f t="shared" si="3"/>
        <v>1</v>
      </c>
      <c r="M148" s="7">
        <f>IFERROR(VLOOKUP(G148,'Base de faturamento'!A:C,2,FALSE),0)</f>
        <v>2167</v>
      </c>
      <c r="N148" s="8">
        <f>IFERROR(VLOOKUP(G148,'Base de faturamento'!A:C,3,FALSE),0)</f>
        <v>44656</v>
      </c>
      <c r="O148" s="8">
        <f t="shared" si="4"/>
        <v>44666</v>
      </c>
      <c r="P148" s="8">
        <f t="shared" si="5"/>
        <v>44682</v>
      </c>
    </row>
    <row r="149" spans="1:16" ht="15" x14ac:dyDescent="0.25">
      <c r="A149" s="2" t="s">
        <v>175</v>
      </c>
      <c r="B149" s="2" t="s">
        <v>36</v>
      </c>
      <c r="C149" s="3" t="str">
        <f>VLOOKUP(B149,Dados!$A$3:$B$10,2,FALSE)</f>
        <v>Time 1</v>
      </c>
      <c r="D149" s="2" t="s">
        <v>22</v>
      </c>
      <c r="E149" s="2" t="s">
        <v>19</v>
      </c>
      <c r="F149" s="4">
        <v>57944047841</v>
      </c>
      <c r="G149" s="5" t="str">
        <f t="shared" si="0"/>
        <v>57944047841</v>
      </c>
      <c r="H149" s="6">
        <v>9127</v>
      </c>
      <c r="I149" s="6">
        <v>0</v>
      </c>
      <c r="J149" s="7">
        <f t="shared" si="1"/>
        <v>9127</v>
      </c>
      <c r="K149" s="7">
        <f t="shared" si="2"/>
        <v>2738.1</v>
      </c>
      <c r="L149" s="7">
        <f t="shared" si="3"/>
        <v>1</v>
      </c>
      <c r="M149" s="7">
        <f>IFERROR(VLOOKUP(G149,'Base de faturamento'!A:C,2,FALSE),0)</f>
        <v>9127</v>
      </c>
      <c r="N149" s="8">
        <f>IFERROR(VLOOKUP(G149,'Base de faturamento'!A:C,3,FALSE),0)</f>
        <v>44676</v>
      </c>
      <c r="O149" s="8">
        <f t="shared" si="4"/>
        <v>44666</v>
      </c>
      <c r="P149" s="8">
        <f t="shared" si="5"/>
        <v>44682</v>
      </c>
    </row>
    <row r="150" spans="1:16" ht="15" x14ac:dyDescent="0.25">
      <c r="A150" s="2" t="s">
        <v>176</v>
      </c>
      <c r="B150" s="2" t="s">
        <v>31</v>
      </c>
      <c r="C150" s="3" t="str">
        <f>VLOOKUP(B150,Dados!$A$3:$B$10,2,FALSE)</f>
        <v>Time 3</v>
      </c>
      <c r="D150" s="2" t="s">
        <v>18</v>
      </c>
      <c r="E150" s="2" t="s">
        <v>25</v>
      </c>
      <c r="F150" s="4">
        <v>58471353109</v>
      </c>
      <c r="G150" s="5" t="str">
        <f t="shared" si="0"/>
        <v>58471353109</v>
      </c>
      <c r="H150" s="6">
        <v>8901</v>
      </c>
      <c r="I150" s="6">
        <v>4343</v>
      </c>
      <c r="J150" s="7">
        <f t="shared" si="1"/>
        <v>4558</v>
      </c>
      <c r="K150" s="7">
        <f t="shared" si="2"/>
        <v>911.6</v>
      </c>
      <c r="L150" s="7">
        <f t="shared" si="3"/>
        <v>1</v>
      </c>
      <c r="M150" s="7">
        <f>IFERROR(VLOOKUP(G150,'Base de faturamento'!A:C,2,FALSE),0)</f>
        <v>8901</v>
      </c>
      <c r="N150" s="8">
        <f>IFERROR(VLOOKUP(G150,'Base de faturamento'!A:C,3,FALSE),0)</f>
        <v>44678</v>
      </c>
      <c r="O150" s="8">
        <f t="shared" si="4"/>
        <v>44682</v>
      </c>
      <c r="P150" s="8">
        <f t="shared" si="5"/>
        <v>44682</v>
      </c>
    </row>
    <row r="151" spans="1:16" ht="15" x14ac:dyDescent="0.25">
      <c r="A151" s="2" t="s">
        <v>177</v>
      </c>
      <c r="B151" s="2" t="s">
        <v>29</v>
      </c>
      <c r="C151" s="3" t="str">
        <f>VLOOKUP(B151,Dados!$A$3:$B$10,2,FALSE)</f>
        <v>Time 2</v>
      </c>
      <c r="D151" s="2" t="s">
        <v>18</v>
      </c>
      <c r="E151" s="2" t="s">
        <v>25</v>
      </c>
      <c r="F151" s="4">
        <v>59188776282</v>
      </c>
      <c r="G151" s="5" t="str">
        <f t="shared" si="0"/>
        <v>59188776282</v>
      </c>
      <c r="H151" s="6">
        <v>8387</v>
      </c>
      <c r="I151" s="6">
        <v>1506</v>
      </c>
      <c r="J151" s="7">
        <f t="shared" si="1"/>
        <v>6881</v>
      </c>
      <c r="K151" s="7">
        <f t="shared" si="2"/>
        <v>1376.2</v>
      </c>
      <c r="L151" s="7">
        <f t="shared" si="3"/>
        <v>1</v>
      </c>
      <c r="M151" s="7">
        <f>IFERROR(VLOOKUP(G151,'Base de faturamento'!A:C,2,FALSE),0)</f>
        <v>8387</v>
      </c>
      <c r="N151" s="8">
        <f>IFERROR(VLOOKUP(G151,'Base de faturamento'!A:C,3,FALSE),0)</f>
        <v>44640</v>
      </c>
      <c r="O151" s="8">
        <f t="shared" si="4"/>
        <v>44652</v>
      </c>
      <c r="P151" s="8">
        <f t="shared" si="5"/>
        <v>44652</v>
      </c>
    </row>
    <row r="152" spans="1:16" ht="15" x14ac:dyDescent="0.25">
      <c r="A152" s="2" t="s">
        <v>178</v>
      </c>
      <c r="B152" s="2" t="s">
        <v>17</v>
      </c>
      <c r="C152" s="3" t="str">
        <f>VLOOKUP(B152,Dados!$A$3:$B$10,2,FALSE)</f>
        <v>Time 3</v>
      </c>
      <c r="D152" s="2" t="s">
        <v>22</v>
      </c>
      <c r="E152" s="2" t="s">
        <v>25</v>
      </c>
      <c r="F152" s="4">
        <v>59196860850</v>
      </c>
      <c r="G152" s="5" t="str">
        <f t="shared" si="0"/>
        <v>59196860850</v>
      </c>
      <c r="H152" s="6">
        <v>6269</v>
      </c>
      <c r="I152" s="6">
        <v>8926</v>
      </c>
      <c r="J152" s="7">
        <f t="shared" si="1"/>
        <v>0</v>
      </c>
      <c r="K152" s="7">
        <f t="shared" si="2"/>
        <v>0</v>
      </c>
      <c r="L152" s="7">
        <f t="shared" si="3"/>
        <v>1</v>
      </c>
      <c r="M152" s="7">
        <f>IFERROR(VLOOKUP(G152,'Base de faturamento'!A:C,2,FALSE),0)</f>
        <v>6269</v>
      </c>
      <c r="N152" s="8">
        <f>IFERROR(VLOOKUP(G152,'Base de faturamento'!A:C,3,FALSE),0)</f>
        <v>44712</v>
      </c>
      <c r="O152" s="8">
        <f t="shared" si="4"/>
        <v>44713</v>
      </c>
      <c r="P152" s="8">
        <f t="shared" si="5"/>
        <v>44713</v>
      </c>
    </row>
    <row r="153" spans="1:16" ht="15" x14ac:dyDescent="0.25">
      <c r="A153" s="2" t="s">
        <v>179</v>
      </c>
      <c r="B153" s="2" t="s">
        <v>21</v>
      </c>
      <c r="C153" s="3" t="str">
        <f>VLOOKUP(B153,Dados!$A$3:$B$10,2,FALSE)</f>
        <v>Time 1</v>
      </c>
      <c r="D153" s="2" t="s">
        <v>22</v>
      </c>
      <c r="E153" s="2" t="s">
        <v>19</v>
      </c>
      <c r="F153" s="4">
        <v>59290608506</v>
      </c>
      <c r="G153" s="5" t="str">
        <f t="shared" si="0"/>
        <v>59290608506</v>
      </c>
      <c r="H153" s="6">
        <v>5612</v>
      </c>
      <c r="I153" s="6">
        <v>0</v>
      </c>
      <c r="J153" s="7">
        <f t="shared" si="1"/>
        <v>5612</v>
      </c>
      <c r="K153" s="7">
        <f t="shared" si="2"/>
        <v>1683.6</v>
      </c>
      <c r="L153" s="7">
        <f t="shared" si="3"/>
        <v>1</v>
      </c>
      <c r="M153" s="7">
        <f>IFERROR(VLOOKUP(G153,'Base de faturamento'!A:C,2,FALSE),0)</f>
        <v>5612</v>
      </c>
      <c r="N153" s="8">
        <f>IFERROR(VLOOKUP(G153,'Base de faturamento'!A:C,3,FALSE),0)</f>
        <v>44732</v>
      </c>
      <c r="O153" s="8">
        <f t="shared" si="4"/>
        <v>44727</v>
      </c>
      <c r="P153" s="8">
        <f t="shared" si="5"/>
        <v>44743</v>
      </c>
    </row>
    <row r="154" spans="1:16" ht="15" x14ac:dyDescent="0.25">
      <c r="A154" s="2" t="s">
        <v>180</v>
      </c>
      <c r="B154" s="2" t="s">
        <v>27</v>
      </c>
      <c r="C154" s="3" t="str">
        <f>VLOOKUP(B154,Dados!$A$3:$B$10,2,FALSE)</f>
        <v>Time 2</v>
      </c>
      <c r="D154" s="2" t="s">
        <v>22</v>
      </c>
      <c r="E154" s="2" t="s">
        <v>19</v>
      </c>
      <c r="F154" s="4">
        <v>59308539774</v>
      </c>
      <c r="G154" s="5" t="str">
        <f t="shared" si="0"/>
        <v>59308539774</v>
      </c>
      <c r="H154" s="6">
        <v>7148</v>
      </c>
      <c r="I154" s="6">
        <v>0</v>
      </c>
      <c r="J154" s="7">
        <f t="shared" si="1"/>
        <v>7148</v>
      </c>
      <c r="K154" s="7">
        <f t="shared" si="2"/>
        <v>2144.4</v>
      </c>
      <c r="L154" s="7">
        <f t="shared" si="3"/>
        <v>1</v>
      </c>
      <c r="M154" s="7">
        <f>IFERROR(VLOOKUP(G154,'Base de faturamento'!A:C,2,FALSE),0)</f>
        <v>7148</v>
      </c>
      <c r="N154" s="8">
        <f>IFERROR(VLOOKUP(G154,'Base de faturamento'!A:C,3,FALSE),0)</f>
        <v>44650</v>
      </c>
      <c r="O154" s="8">
        <f t="shared" si="4"/>
        <v>44652</v>
      </c>
      <c r="P154" s="8">
        <f t="shared" si="5"/>
        <v>44652</v>
      </c>
    </row>
    <row r="155" spans="1:16" ht="15" x14ac:dyDescent="0.25">
      <c r="A155" s="2" t="s">
        <v>181</v>
      </c>
      <c r="B155" s="2" t="s">
        <v>31</v>
      </c>
      <c r="C155" s="3" t="str">
        <f>VLOOKUP(B155,Dados!$A$3:$B$10,2,FALSE)</f>
        <v>Time 3</v>
      </c>
      <c r="D155" s="2" t="s">
        <v>18</v>
      </c>
      <c r="E155" s="2" t="s">
        <v>25</v>
      </c>
      <c r="F155" s="4">
        <v>59364884973</v>
      </c>
      <c r="G155" s="5" t="str">
        <f t="shared" si="0"/>
        <v>59364884973</v>
      </c>
      <c r="H155" s="6">
        <v>7525</v>
      </c>
      <c r="I155" s="6">
        <v>9398</v>
      </c>
      <c r="J155" s="7">
        <f t="shared" si="1"/>
        <v>0</v>
      </c>
      <c r="K155" s="7">
        <f t="shared" si="2"/>
        <v>0</v>
      </c>
      <c r="L155" s="7">
        <f t="shared" si="3"/>
        <v>1</v>
      </c>
      <c r="M155" s="7">
        <f>IFERROR(VLOOKUP(G155,'Base de faturamento'!A:C,2,FALSE),0)</f>
        <v>7525</v>
      </c>
      <c r="N155" s="8">
        <f>IFERROR(VLOOKUP(G155,'Base de faturamento'!A:C,3,FALSE),0)</f>
        <v>44718</v>
      </c>
      <c r="O155" s="8">
        <f t="shared" si="4"/>
        <v>44743</v>
      </c>
      <c r="P155" s="8">
        <f t="shared" si="5"/>
        <v>44743</v>
      </c>
    </row>
    <row r="156" spans="1:16" ht="15" x14ac:dyDescent="0.25">
      <c r="A156" s="2" t="s">
        <v>182</v>
      </c>
      <c r="B156" s="2" t="s">
        <v>24</v>
      </c>
      <c r="C156" s="3" t="str">
        <f>VLOOKUP(B156,Dados!$A$3:$B$10,2,FALSE)</f>
        <v>Time 2</v>
      </c>
      <c r="D156" s="2" t="s">
        <v>18</v>
      </c>
      <c r="E156" s="2" t="s">
        <v>25</v>
      </c>
      <c r="F156" s="4">
        <v>59858313655</v>
      </c>
      <c r="G156" s="5" t="str">
        <f t="shared" si="0"/>
        <v>59858313655</v>
      </c>
      <c r="H156" s="6">
        <v>4856</v>
      </c>
      <c r="I156" s="6">
        <v>5265</v>
      </c>
      <c r="J156" s="7">
        <f t="shared" si="1"/>
        <v>0</v>
      </c>
      <c r="K156" s="7">
        <f t="shared" si="2"/>
        <v>0</v>
      </c>
      <c r="L156" s="7">
        <f t="shared" si="3"/>
        <v>1</v>
      </c>
      <c r="M156" s="7">
        <f>IFERROR(VLOOKUP(G156,'Base de faturamento'!A:C,2,FALSE),0)</f>
        <v>4856</v>
      </c>
      <c r="N156" s="8">
        <f>IFERROR(VLOOKUP(G156,'Base de faturamento'!A:C,3,FALSE),0)</f>
        <v>44702</v>
      </c>
      <c r="O156" s="8">
        <f t="shared" si="4"/>
        <v>44713</v>
      </c>
      <c r="P156" s="8">
        <f t="shared" si="5"/>
        <v>44713</v>
      </c>
    </row>
    <row r="157" spans="1:16" ht="15" x14ac:dyDescent="0.25">
      <c r="A157" s="2" t="s">
        <v>183</v>
      </c>
      <c r="B157" s="2" t="s">
        <v>33</v>
      </c>
      <c r="C157" s="3" t="str">
        <f>VLOOKUP(B157,Dados!$A$3:$B$10,2,FALSE)</f>
        <v>Time 1</v>
      </c>
      <c r="D157" s="2" t="s">
        <v>22</v>
      </c>
      <c r="E157" s="2" t="s">
        <v>19</v>
      </c>
      <c r="F157" s="4">
        <v>60252317043</v>
      </c>
      <c r="G157" s="5" t="str">
        <f t="shared" si="0"/>
        <v>60252317043</v>
      </c>
      <c r="H157" s="6">
        <v>7652</v>
      </c>
      <c r="I157" s="6">
        <v>0</v>
      </c>
      <c r="J157" s="7">
        <f t="shared" si="1"/>
        <v>7652</v>
      </c>
      <c r="K157" s="7">
        <f t="shared" si="2"/>
        <v>2295.6</v>
      </c>
      <c r="L157" s="7">
        <f t="shared" si="3"/>
        <v>1</v>
      </c>
      <c r="M157" s="7">
        <f>IFERROR(VLOOKUP(G157,'Base de faturamento'!A:C,2,FALSE),0)</f>
        <v>7652</v>
      </c>
      <c r="N157" s="8">
        <f>IFERROR(VLOOKUP(G157,'Base de faturamento'!A:C,3,FALSE),0)</f>
        <v>44678</v>
      </c>
      <c r="O157" s="8">
        <f t="shared" si="4"/>
        <v>44666</v>
      </c>
      <c r="P157" s="8">
        <f t="shared" si="5"/>
        <v>44682</v>
      </c>
    </row>
    <row r="158" spans="1:16" ht="15" x14ac:dyDescent="0.25">
      <c r="A158" s="2" t="s">
        <v>184</v>
      </c>
      <c r="B158" s="2" t="s">
        <v>29</v>
      </c>
      <c r="C158" s="3" t="str">
        <f>VLOOKUP(B158,Dados!$A$3:$B$10,2,FALSE)</f>
        <v>Time 2</v>
      </c>
      <c r="D158" s="2" t="s">
        <v>18</v>
      </c>
      <c r="E158" s="2" t="s">
        <v>19</v>
      </c>
      <c r="F158" s="4">
        <v>60333804194</v>
      </c>
      <c r="G158" s="5" t="str">
        <f t="shared" si="0"/>
        <v>60333804194</v>
      </c>
      <c r="H158" s="6">
        <v>4273</v>
      </c>
      <c r="I158" s="6">
        <v>0</v>
      </c>
      <c r="J158" s="7">
        <f t="shared" si="1"/>
        <v>4273</v>
      </c>
      <c r="K158" s="7">
        <f t="shared" si="2"/>
        <v>854.6</v>
      </c>
      <c r="L158" s="7">
        <f t="shared" si="3"/>
        <v>1</v>
      </c>
      <c r="M158" s="7">
        <f>IFERROR(VLOOKUP(G158,'Base de faturamento'!A:C,2,FALSE),0)</f>
        <v>4273</v>
      </c>
      <c r="N158" s="8">
        <f>IFERROR(VLOOKUP(G158,'Base de faturamento'!A:C,3,FALSE),0)</f>
        <v>44697</v>
      </c>
      <c r="O158" s="8">
        <f t="shared" si="4"/>
        <v>44713</v>
      </c>
      <c r="P158" s="8">
        <f t="shared" si="5"/>
        <v>44713</v>
      </c>
    </row>
    <row r="159" spans="1:16" ht="15" x14ac:dyDescent="0.25">
      <c r="A159" s="2" t="s">
        <v>185</v>
      </c>
      <c r="B159" s="2" t="s">
        <v>31</v>
      </c>
      <c r="C159" s="3" t="str">
        <f>VLOOKUP(B159,Dados!$A$3:$B$10,2,FALSE)</f>
        <v>Time 3</v>
      </c>
      <c r="D159" s="2" t="s">
        <v>22</v>
      </c>
      <c r="E159" s="2" t="s">
        <v>19</v>
      </c>
      <c r="F159" s="4">
        <v>60739388191</v>
      </c>
      <c r="G159" s="5" t="str">
        <f t="shared" si="0"/>
        <v>60739388191</v>
      </c>
      <c r="H159" s="6">
        <v>8751</v>
      </c>
      <c r="I159" s="6">
        <v>0</v>
      </c>
      <c r="J159" s="7">
        <f t="shared" si="1"/>
        <v>8751</v>
      </c>
      <c r="K159" s="7">
        <f t="shared" si="2"/>
        <v>2625.2999999999997</v>
      </c>
      <c r="L159" s="7">
        <f t="shared" si="3"/>
        <v>1</v>
      </c>
      <c r="M159" s="7">
        <f>IFERROR(VLOOKUP(G159,'Base de faturamento'!A:C,2,FALSE),0)</f>
        <v>8751</v>
      </c>
      <c r="N159" s="8">
        <f>IFERROR(VLOOKUP(G159,'Base de faturamento'!A:C,3,FALSE),0)</f>
        <v>44742</v>
      </c>
      <c r="O159" s="8">
        <f t="shared" si="4"/>
        <v>44743</v>
      </c>
      <c r="P159" s="8">
        <f t="shared" si="5"/>
        <v>44743</v>
      </c>
    </row>
    <row r="160" spans="1:16" ht="15" x14ac:dyDescent="0.25">
      <c r="A160" s="2" t="s">
        <v>186</v>
      </c>
      <c r="B160" s="2" t="s">
        <v>27</v>
      </c>
      <c r="C160" s="3" t="str">
        <f>VLOOKUP(B160,Dados!$A$3:$B$10,2,FALSE)</f>
        <v>Time 2</v>
      </c>
      <c r="D160" s="2" t="s">
        <v>18</v>
      </c>
      <c r="E160" s="2" t="s">
        <v>25</v>
      </c>
      <c r="F160" s="4">
        <v>61350834145</v>
      </c>
      <c r="G160" s="5" t="str">
        <f t="shared" si="0"/>
        <v>61350834145</v>
      </c>
      <c r="H160" s="6">
        <v>7260</v>
      </c>
      <c r="I160" s="6">
        <v>8929</v>
      </c>
      <c r="J160" s="7">
        <f t="shared" si="1"/>
        <v>0</v>
      </c>
      <c r="K160" s="7">
        <f t="shared" si="2"/>
        <v>0</v>
      </c>
      <c r="L160" s="7">
        <f t="shared" si="3"/>
        <v>1</v>
      </c>
      <c r="M160" s="7">
        <f>IFERROR(VLOOKUP(G160,'Base de faturamento'!A:C,2,FALSE),0)</f>
        <v>7260</v>
      </c>
      <c r="N160" s="8">
        <f>IFERROR(VLOOKUP(G160,'Base de faturamento'!A:C,3,FALSE),0)</f>
        <v>44741</v>
      </c>
      <c r="O160" s="8">
        <f t="shared" si="4"/>
        <v>44743</v>
      </c>
      <c r="P160" s="8">
        <f t="shared" si="5"/>
        <v>44743</v>
      </c>
    </row>
    <row r="161" spans="1:16" ht="15" x14ac:dyDescent="0.25">
      <c r="A161" s="2" t="s">
        <v>187</v>
      </c>
      <c r="B161" s="2" t="s">
        <v>33</v>
      </c>
      <c r="C161" s="3" t="str">
        <f>VLOOKUP(B161,Dados!$A$3:$B$10,2,FALSE)</f>
        <v>Time 1</v>
      </c>
      <c r="D161" s="2" t="s">
        <v>18</v>
      </c>
      <c r="E161" s="2" t="s">
        <v>25</v>
      </c>
      <c r="F161" s="4">
        <v>61540307470</v>
      </c>
      <c r="G161" s="5" t="str">
        <f t="shared" si="0"/>
        <v>61540307470</v>
      </c>
      <c r="H161" s="6">
        <v>4257</v>
      </c>
      <c r="I161" s="6">
        <v>6915</v>
      </c>
      <c r="J161" s="7">
        <f t="shared" si="1"/>
        <v>0</v>
      </c>
      <c r="K161" s="7">
        <f t="shared" si="2"/>
        <v>0</v>
      </c>
      <c r="L161" s="7">
        <f t="shared" si="3"/>
        <v>1</v>
      </c>
      <c r="M161" s="7">
        <f>IFERROR(VLOOKUP(G161,'Base de faturamento'!A:C,2,FALSE),0)</f>
        <v>4257</v>
      </c>
      <c r="N161" s="8">
        <f>IFERROR(VLOOKUP(G161,'Base de faturamento'!A:C,3,FALSE),0)</f>
        <v>44638</v>
      </c>
      <c r="O161" s="8">
        <f t="shared" si="4"/>
        <v>44635</v>
      </c>
      <c r="P161" s="8">
        <f t="shared" si="5"/>
        <v>44652</v>
      </c>
    </row>
    <row r="162" spans="1:16" ht="15" x14ac:dyDescent="0.25">
      <c r="A162" s="2" t="s">
        <v>188</v>
      </c>
      <c r="B162" s="2" t="s">
        <v>27</v>
      </c>
      <c r="C162" s="3" t="str">
        <f>VLOOKUP(B162,Dados!$A$3:$B$10,2,FALSE)</f>
        <v>Time 2</v>
      </c>
      <c r="D162" s="2" t="s">
        <v>18</v>
      </c>
      <c r="E162" s="2" t="s">
        <v>25</v>
      </c>
      <c r="F162" s="4">
        <v>61593482463</v>
      </c>
      <c r="G162" s="5" t="str">
        <f t="shared" si="0"/>
        <v>61593482463</v>
      </c>
      <c r="H162" s="6">
        <v>4387</v>
      </c>
      <c r="I162" s="6">
        <v>1175</v>
      </c>
      <c r="J162" s="7">
        <f t="shared" si="1"/>
        <v>3212</v>
      </c>
      <c r="K162" s="7">
        <f t="shared" si="2"/>
        <v>642.40000000000009</v>
      </c>
      <c r="L162" s="7">
        <f t="shared" si="3"/>
        <v>1</v>
      </c>
      <c r="M162" s="7">
        <f>IFERROR(VLOOKUP(G162,'Base de faturamento'!A:C,2,FALSE),0)</f>
        <v>4387</v>
      </c>
      <c r="N162" s="8">
        <f>IFERROR(VLOOKUP(G162,'Base de faturamento'!A:C,3,FALSE),0)</f>
        <v>44704</v>
      </c>
      <c r="O162" s="8">
        <f t="shared" si="4"/>
        <v>44713</v>
      </c>
      <c r="P162" s="8">
        <f t="shared" si="5"/>
        <v>44713</v>
      </c>
    </row>
    <row r="163" spans="1:16" ht="15" x14ac:dyDescent="0.25">
      <c r="A163" s="2" t="s">
        <v>189</v>
      </c>
      <c r="B163" s="2" t="s">
        <v>24</v>
      </c>
      <c r="C163" s="3" t="str">
        <f>VLOOKUP(B163,Dados!$A$3:$B$10,2,FALSE)</f>
        <v>Time 2</v>
      </c>
      <c r="D163" s="2" t="s">
        <v>22</v>
      </c>
      <c r="E163" s="2" t="s">
        <v>19</v>
      </c>
      <c r="F163" s="4">
        <v>62343471729</v>
      </c>
      <c r="G163" s="5" t="str">
        <f t="shared" si="0"/>
        <v>62343471729</v>
      </c>
      <c r="H163" s="6">
        <v>4275</v>
      </c>
      <c r="I163" s="6">
        <v>0</v>
      </c>
      <c r="J163" s="7">
        <f t="shared" si="1"/>
        <v>4275</v>
      </c>
      <c r="K163" s="7">
        <f t="shared" si="2"/>
        <v>1282.5</v>
      </c>
      <c r="L163" s="7">
        <f t="shared" si="3"/>
        <v>1</v>
      </c>
      <c r="M163" s="7">
        <f>IFERROR(VLOOKUP(G163,'Base de faturamento'!A:C,2,FALSE),0)</f>
        <v>4275</v>
      </c>
      <c r="N163" s="8">
        <f>IFERROR(VLOOKUP(G163,'Base de faturamento'!A:C,3,FALSE),0)</f>
        <v>44651</v>
      </c>
      <c r="O163" s="8">
        <f t="shared" si="4"/>
        <v>44652</v>
      </c>
      <c r="P163" s="8">
        <f t="shared" si="5"/>
        <v>44652</v>
      </c>
    </row>
    <row r="164" spans="1:16" ht="15" x14ac:dyDescent="0.25">
      <c r="A164" s="2" t="s">
        <v>190</v>
      </c>
      <c r="B164" s="2" t="s">
        <v>24</v>
      </c>
      <c r="C164" s="3" t="str">
        <f>VLOOKUP(B164,Dados!$A$3:$B$10,2,FALSE)</f>
        <v>Time 2</v>
      </c>
      <c r="D164" s="2" t="s">
        <v>22</v>
      </c>
      <c r="E164" s="2" t="s">
        <v>19</v>
      </c>
      <c r="F164" s="4">
        <v>62485626757</v>
      </c>
      <c r="G164" s="5" t="str">
        <f t="shared" si="0"/>
        <v>62485626757</v>
      </c>
      <c r="H164" s="6">
        <v>7762</v>
      </c>
      <c r="I164" s="6">
        <v>0</v>
      </c>
      <c r="J164" s="7">
        <f t="shared" si="1"/>
        <v>7762</v>
      </c>
      <c r="K164" s="7">
        <f t="shared" si="2"/>
        <v>2328.6</v>
      </c>
      <c r="L164" s="7">
        <f t="shared" si="3"/>
        <v>1</v>
      </c>
      <c r="M164" s="7">
        <f>IFERROR(VLOOKUP(G164,'Base de faturamento'!A:C,2,FALSE),0)</f>
        <v>7762</v>
      </c>
      <c r="N164" s="8">
        <f>IFERROR(VLOOKUP(G164,'Base de faturamento'!A:C,3,FALSE),0)</f>
        <v>44624</v>
      </c>
      <c r="O164" s="8">
        <f t="shared" si="4"/>
        <v>44652</v>
      </c>
      <c r="P164" s="8">
        <f t="shared" si="5"/>
        <v>44652</v>
      </c>
    </row>
    <row r="165" spans="1:16" ht="15" x14ac:dyDescent="0.25">
      <c r="A165" s="2" t="s">
        <v>191</v>
      </c>
      <c r="B165" s="2" t="s">
        <v>29</v>
      </c>
      <c r="C165" s="3" t="str">
        <f>VLOOKUP(B165,Dados!$A$3:$B$10,2,FALSE)</f>
        <v>Time 2</v>
      </c>
      <c r="D165" s="2" t="s">
        <v>22</v>
      </c>
      <c r="E165" s="2" t="s">
        <v>19</v>
      </c>
      <c r="F165" s="4">
        <v>62850362472</v>
      </c>
      <c r="G165" s="5" t="str">
        <f t="shared" si="0"/>
        <v>62850362472</v>
      </c>
      <c r="H165" s="6">
        <v>7862</v>
      </c>
      <c r="I165" s="6">
        <v>0</v>
      </c>
      <c r="J165" s="7">
        <f t="shared" si="1"/>
        <v>7862</v>
      </c>
      <c r="K165" s="7">
        <f t="shared" si="2"/>
        <v>2358.6</v>
      </c>
      <c r="L165" s="7">
        <f t="shared" si="3"/>
        <v>1</v>
      </c>
      <c r="M165" s="7">
        <f>IFERROR(VLOOKUP(G165,'Base de faturamento'!A:C,2,FALSE),0)</f>
        <v>7862</v>
      </c>
      <c r="N165" s="8">
        <f>IFERROR(VLOOKUP(G165,'Base de faturamento'!A:C,3,FALSE),0)</f>
        <v>44708</v>
      </c>
      <c r="O165" s="8">
        <f t="shared" si="4"/>
        <v>44713</v>
      </c>
      <c r="P165" s="8">
        <f t="shared" si="5"/>
        <v>44713</v>
      </c>
    </row>
    <row r="166" spans="1:16" ht="15" x14ac:dyDescent="0.25">
      <c r="A166" s="2" t="s">
        <v>192</v>
      </c>
      <c r="B166" s="2" t="s">
        <v>27</v>
      </c>
      <c r="C166" s="3" t="str">
        <f>VLOOKUP(B166,Dados!$A$3:$B$10,2,FALSE)</f>
        <v>Time 2</v>
      </c>
      <c r="D166" s="2" t="s">
        <v>22</v>
      </c>
      <c r="E166" s="2" t="s">
        <v>19</v>
      </c>
      <c r="F166" s="4">
        <v>62947795892</v>
      </c>
      <c r="G166" s="5" t="str">
        <f t="shared" si="0"/>
        <v>62947795892</v>
      </c>
      <c r="H166" s="6">
        <v>9635</v>
      </c>
      <c r="I166" s="6">
        <v>0</v>
      </c>
      <c r="J166" s="7">
        <f t="shared" si="1"/>
        <v>9635</v>
      </c>
      <c r="K166" s="7">
        <f t="shared" si="2"/>
        <v>2890.5</v>
      </c>
      <c r="L166" s="7">
        <f t="shared" si="3"/>
        <v>1</v>
      </c>
      <c r="M166" s="7">
        <f>IFERROR(VLOOKUP(G166,'Base de faturamento'!A:C,2,FALSE),0)</f>
        <v>9635</v>
      </c>
      <c r="N166" s="8">
        <f>IFERROR(VLOOKUP(G166,'Base de faturamento'!A:C,3,FALSE),0)</f>
        <v>44733</v>
      </c>
      <c r="O166" s="8">
        <f t="shared" si="4"/>
        <v>44743</v>
      </c>
      <c r="P166" s="8">
        <f t="shared" si="5"/>
        <v>44743</v>
      </c>
    </row>
    <row r="167" spans="1:16" ht="15" x14ac:dyDescent="0.25">
      <c r="A167" s="2" t="s">
        <v>193</v>
      </c>
      <c r="B167" s="2" t="s">
        <v>36</v>
      </c>
      <c r="C167" s="3" t="str">
        <f>VLOOKUP(B167,Dados!$A$3:$B$10,2,FALSE)</f>
        <v>Time 1</v>
      </c>
      <c r="D167" s="2" t="s">
        <v>22</v>
      </c>
      <c r="E167" s="2" t="s">
        <v>19</v>
      </c>
      <c r="F167" s="4">
        <v>63191650037</v>
      </c>
      <c r="G167" s="5" t="str">
        <f t="shared" si="0"/>
        <v>63191650037</v>
      </c>
      <c r="H167" s="6">
        <v>8276</v>
      </c>
      <c r="I167" s="6">
        <v>0</v>
      </c>
      <c r="J167" s="7">
        <f t="shared" si="1"/>
        <v>8276</v>
      </c>
      <c r="K167" s="7">
        <f t="shared" si="2"/>
        <v>2482.7999999999997</v>
      </c>
      <c r="L167" s="7">
        <f t="shared" si="3"/>
        <v>1</v>
      </c>
      <c r="M167" s="7">
        <f>IFERROR(VLOOKUP(G167,'Base de faturamento'!A:C,2,FALSE),0)</f>
        <v>8276</v>
      </c>
      <c r="N167" s="8">
        <f>IFERROR(VLOOKUP(G167,'Base de faturamento'!A:C,3,FALSE),0)</f>
        <v>44621</v>
      </c>
      <c r="O167" s="8">
        <f t="shared" si="4"/>
        <v>44635</v>
      </c>
      <c r="P167" s="8">
        <f t="shared" si="5"/>
        <v>44652</v>
      </c>
    </row>
    <row r="168" spans="1:16" ht="15" x14ac:dyDescent="0.25">
      <c r="A168" s="2" t="s">
        <v>194</v>
      </c>
      <c r="B168" s="2" t="s">
        <v>29</v>
      </c>
      <c r="C168" s="3" t="str">
        <f>VLOOKUP(B168,Dados!$A$3:$B$10,2,FALSE)</f>
        <v>Time 2</v>
      </c>
      <c r="D168" s="2" t="s">
        <v>22</v>
      </c>
      <c r="E168" s="2" t="s">
        <v>19</v>
      </c>
      <c r="F168" s="4">
        <v>63204387825</v>
      </c>
      <c r="G168" s="5" t="str">
        <f t="shared" si="0"/>
        <v>63204387825</v>
      </c>
      <c r="H168" s="6">
        <v>2809</v>
      </c>
      <c r="I168" s="6">
        <v>0</v>
      </c>
      <c r="J168" s="7">
        <f t="shared" si="1"/>
        <v>2809</v>
      </c>
      <c r="K168" s="7">
        <f t="shared" si="2"/>
        <v>842.69999999999993</v>
      </c>
      <c r="L168" s="7">
        <f t="shared" si="3"/>
        <v>1</v>
      </c>
      <c r="M168" s="7">
        <f>IFERROR(VLOOKUP(G168,'Base de faturamento'!A:C,2,FALSE),0)</f>
        <v>2809</v>
      </c>
      <c r="N168" s="8">
        <f>IFERROR(VLOOKUP(G168,'Base de faturamento'!A:C,3,FALSE),0)</f>
        <v>44653</v>
      </c>
      <c r="O168" s="8">
        <f t="shared" si="4"/>
        <v>44682</v>
      </c>
      <c r="P168" s="8">
        <f t="shared" si="5"/>
        <v>44682</v>
      </c>
    </row>
    <row r="169" spans="1:16" ht="15" x14ac:dyDescent="0.25">
      <c r="A169" s="2" t="s">
        <v>195</v>
      </c>
      <c r="B169" s="2" t="s">
        <v>33</v>
      </c>
      <c r="C169" s="3" t="str">
        <f>VLOOKUP(B169,Dados!$A$3:$B$10,2,FALSE)</f>
        <v>Time 1</v>
      </c>
      <c r="D169" s="2" t="s">
        <v>22</v>
      </c>
      <c r="E169" s="2" t="s">
        <v>25</v>
      </c>
      <c r="F169" s="4">
        <v>65117648937</v>
      </c>
      <c r="G169" s="5" t="str">
        <f t="shared" si="0"/>
        <v>65117648937</v>
      </c>
      <c r="H169" s="6">
        <v>6710</v>
      </c>
      <c r="I169" s="6">
        <v>3467</v>
      </c>
      <c r="J169" s="7">
        <f t="shared" si="1"/>
        <v>3243</v>
      </c>
      <c r="K169" s="7">
        <f t="shared" si="2"/>
        <v>972.9</v>
      </c>
      <c r="L169" s="7">
        <f t="shared" si="3"/>
        <v>1</v>
      </c>
      <c r="M169" s="7">
        <f>IFERROR(VLOOKUP(G169,'Base de faturamento'!A:C,2,FALSE),0)</f>
        <v>6710</v>
      </c>
      <c r="N169" s="8">
        <f>IFERROR(VLOOKUP(G169,'Base de faturamento'!A:C,3,FALSE),0)</f>
        <v>44652</v>
      </c>
      <c r="O169" s="8">
        <f t="shared" si="4"/>
        <v>44666</v>
      </c>
      <c r="P169" s="8">
        <f t="shared" si="5"/>
        <v>44682</v>
      </c>
    </row>
    <row r="170" spans="1:16" ht="15" x14ac:dyDescent="0.25">
      <c r="A170" s="2" t="s">
        <v>196</v>
      </c>
      <c r="B170" s="2" t="s">
        <v>21</v>
      </c>
      <c r="C170" s="3" t="str">
        <f>VLOOKUP(B170,Dados!$A$3:$B$10,2,FALSE)</f>
        <v>Time 1</v>
      </c>
      <c r="D170" s="2" t="s">
        <v>22</v>
      </c>
      <c r="E170" s="2" t="s">
        <v>25</v>
      </c>
      <c r="F170" s="4">
        <v>65267985440</v>
      </c>
      <c r="G170" s="5" t="str">
        <f t="shared" si="0"/>
        <v>65267985440</v>
      </c>
      <c r="H170" s="6">
        <v>2772</v>
      </c>
      <c r="I170" s="6">
        <v>3548</v>
      </c>
      <c r="J170" s="7">
        <f t="shared" si="1"/>
        <v>0</v>
      </c>
      <c r="K170" s="7">
        <f t="shared" si="2"/>
        <v>0</v>
      </c>
      <c r="L170" s="7">
        <f t="shared" si="3"/>
        <v>1</v>
      </c>
      <c r="M170" s="7">
        <f>IFERROR(VLOOKUP(G170,'Base de faturamento'!A:C,2,FALSE),0)</f>
        <v>2772</v>
      </c>
      <c r="N170" s="8">
        <f>IFERROR(VLOOKUP(G170,'Base de faturamento'!A:C,3,FALSE),0)</f>
        <v>44714</v>
      </c>
      <c r="O170" s="8">
        <f t="shared" si="4"/>
        <v>44727</v>
      </c>
      <c r="P170" s="8">
        <f t="shared" si="5"/>
        <v>44743</v>
      </c>
    </row>
    <row r="171" spans="1:16" ht="15" x14ac:dyDescent="0.25">
      <c r="A171" s="2" t="s">
        <v>197</v>
      </c>
      <c r="B171" s="2" t="s">
        <v>21</v>
      </c>
      <c r="C171" s="3" t="str">
        <f>VLOOKUP(B171,Dados!$A$3:$B$10,2,FALSE)</f>
        <v>Time 1</v>
      </c>
      <c r="D171" s="2" t="s">
        <v>18</v>
      </c>
      <c r="E171" s="2" t="s">
        <v>19</v>
      </c>
      <c r="F171" s="4">
        <v>65425483723</v>
      </c>
      <c r="G171" s="5" t="str">
        <f t="shared" si="0"/>
        <v>65425483723</v>
      </c>
      <c r="H171" s="6">
        <v>6811</v>
      </c>
      <c r="I171" s="6">
        <v>0</v>
      </c>
      <c r="J171" s="7">
        <f t="shared" si="1"/>
        <v>6811</v>
      </c>
      <c r="K171" s="7">
        <f t="shared" si="2"/>
        <v>1362.2</v>
      </c>
      <c r="L171" s="7">
        <f t="shared" si="3"/>
        <v>1</v>
      </c>
      <c r="M171" s="7">
        <f>IFERROR(VLOOKUP(G171,'Base de faturamento'!A:C,2,FALSE),0)</f>
        <v>6811</v>
      </c>
      <c r="N171" s="8">
        <f>IFERROR(VLOOKUP(G171,'Base de faturamento'!A:C,3,FALSE),0)</f>
        <v>44737</v>
      </c>
      <c r="O171" s="8">
        <f t="shared" si="4"/>
        <v>44727</v>
      </c>
      <c r="P171" s="8">
        <f t="shared" si="5"/>
        <v>44743</v>
      </c>
    </row>
    <row r="172" spans="1:16" ht="15" x14ac:dyDescent="0.25">
      <c r="A172" s="2" t="s">
        <v>198</v>
      </c>
      <c r="B172" s="2" t="s">
        <v>36</v>
      </c>
      <c r="C172" s="3" t="str">
        <f>VLOOKUP(B172,Dados!$A$3:$B$10,2,FALSE)</f>
        <v>Time 1</v>
      </c>
      <c r="D172" s="2" t="s">
        <v>22</v>
      </c>
      <c r="E172" s="2" t="s">
        <v>19</v>
      </c>
      <c r="F172" s="4">
        <v>65552189484</v>
      </c>
      <c r="G172" s="5" t="str">
        <f t="shared" si="0"/>
        <v>65552189484</v>
      </c>
      <c r="H172" s="6">
        <v>6113</v>
      </c>
      <c r="I172" s="6">
        <v>0</v>
      </c>
      <c r="J172" s="7">
        <f t="shared" si="1"/>
        <v>6113</v>
      </c>
      <c r="K172" s="7">
        <f t="shared" si="2"/>
        <v>1833.8999999999999</v>
      </c>
      <c r="L172" s="7">
        <f t="shared" si="3"/>
        <v>1</v>
      </c>
      <c r="M172" s="7">
        <f>IFERROR(VLOOKUP(G172,'Base de faturamento'!A:C,2,FALSE),0)</f>
        <v>6113</v>
      </c>
      <c r="N172" s="8">
        <f>IFERROR(VLOOKUP(G172,'Base de faturamento'!A:C,3,FALSE),0)</f>
        <v>44663</v>
      </c>
      <c r="O172" s="8">
        <f t="shared" si="4"/>
        <v>44666</v>
      </c>
      <c r="P172" s="8">
        <f t="shared" si="5"/>
        <v>44682</v>
      </c>
    </row>
    <row r="173" spans="1:16" ht="15" x14ac:dyDescent="0.25">
      <c r="A173" s="2" t="s">
        <v>199</v>
      </c>
      <c r="B173" s="2" t="s">
        <v>27</v>
      </c>
      <c r="C173" s="3" t="str">
        <f>VLOOKUP(B173,Dados!$A$3:$B$10,2,FALSE)</f>
        <v>Time 2</v>
      </c>
      <c r="D173" s="2" t="s">
        <v>18</v>
      </c>
      <c r="E173" s="2" t="s">
        <v>19</v>
      </c>
      <c r="F173" s="4">
        <v>65748321003</v>
      </c>
      <c r="G173" s="5" t="str">
        <f t="shared" si="0"/>
        <v>65748321003</v>
      </c>
      <c r="H173" s="6">
        <v>9599</v>
      </c>
      <c r="I173" s="6">
        <v>0</v>
      </c>
      <c r="J173" s="7">
        <f t="shared" si="1"/>
        <v>9599</v>
      </c>
      <c r="K173" s="7">
        <f t="shared" si="2"/>
        <v>1919.8000000000002</v>
      </c>
      <c r="L173" s="7">
        <f t="shared" si="3"/>
        <v>1</v>
      </c>
      <c r="M173" s="7">
        <f>IFERROR(VLOOKUP(G173,'Base de faturamento'!A:C,2,FALSE),0)</f>
        <v>9599</v>
      </c>
      <c r="N173" s="8">
        <f>IFERROR(VLOOKUP(G173,'Base de faturamento'!A:C,3,FALSE),0)</f>
        <v>44728</v>
      </c>
      <c r="O173" s="8">
        <f t="shared" si="4"/>
        <v>44743</v>
      </c>
      <c r="P173" s="8">
        <f t="shared" si="5"/>
        <v>44743</v>
      </c>
    </row>
    <row r="174" spans="1:16" ht="15" x14ac:dyDescent="0.25">
      <c r="A174" s="2" t="s">
        <v>200</v>
      </c>
      <c r="B174" s="2" t="s">
        <v>33</v>
      </c>
      <c r="C174" s="3" t="str">
        <f>VLOOKUP(B174,Dados!$A$3:$B$10,2,FALSE)</f>
        <v>Time 1</v>
      </c>
      <c r="D174" s="2" t="s">
        <v>18</v>
      </c>
      <c r="E174" s="2" t="s">
        <v>25</v>
      </c>
      <c r="F174" s="4">
        <v>65959835898</v>
      </c>
      <c r="G174" s="5" t="str">
        <f t="shared" si="0"/>
        <v>65959835898</v>
      </c>
      <c r="H174" s="6">
        <v>4679</v>
      </c>
      <c r="I174" s="6">
        <v>4804</v>
      </c>
      <c r="J174" s="7">
        <f t="shared" si="1"/>
        <v>0</v>
      </c>
      <c r="K174" s="7">
        <f t="shared" si="2"/>
        <v>0</v>
      </c>
      <c r="L174" s="7">
        <f t="shared" si="3"/>
        <v>1</v>
      </c>
      <c r="M174" s="7">
        <f>IFERROR(VLOOKUP(G174,'Base de faturamento'!A:C,2,FALSE),0)</f>
        <v>4679</v>
      </c>
      <c r="N174" s="8">
        <f>IFERROR(VLOOKUP(G174,'Base de faturamento'!A:C,3,FALSE),0)</f>
        <v>44641</v>
      </c>
      <c r="O174" s="8">
        <f t="shared" si="4"/>
        <v>44635</v>
      </c>
      <c r="P174" s="8">
        <f t="shared" si="5"/>
        <v>44652</v>
      </c>
    </row>
    <row r="175" spans="1:16" ht="15" x14ac:dyDescent="0.25">
      <c r="A175" s="2" t="s">
        <v>201</v>
      </c>
      <c r="B175" s="2" t="s">
        <v>33</v>
      </c>
      <c r="C175" s="3" t="str">
        <f>VLOOKUP(B175,Dados!$A$3:$B$10,2,FALSE)</f>
        <v>Time 1</v>
      </c>
      <c r="D175" s="2" t="s">
        <v>18</v>
      </c>
      <c r="E175" s="2" t="s">
        <v>19</v>
      </c>
      <c r="F175" s="4">
        <v>66017994987</v>
      </c>
      <c r="G175" s="5" t="str">
        <f t="shared" si="0"/>
        <v>66017994987</v>
      </c>
      <c r="H175" s="6">
        <v>3955</v>
      </c>
      <c r="I175" s="6">
        <v>0</v>
      </c>
      <c r="J175" s="7">
        <f t="shared" si="1"/>
        <v>3955</v>
      </c>
      <c r="K175" s="7">
        <f t="shared" si="2"/>
        <v>791</v>
      </c>
      <c r="L175" s="7">
        <f t="shared" si="3"/>
        <v>1</v>
      </c>
      <c r="M175" s="7">
        <f>IFERROR(VLOOKUP(G175,'Base de faturamento'!A:C,2,FALSE),0)</f>
        <v>3955</v>
      </c>
      <c r="N175" s="8">
        <f>IFERROR(VLOOKUP(G175,'Base de faturamento'!A:C,3,FALSE),0)</f>
        <v>44635</v>
      </c>
      <c r="O175" s="8">
        <f t="shared" si="4"/>
        <v>44635</v>
      </c>
      <c r="P175" s="8">
        <f t="shared" si="5"/>
        <v>44652</v>
      </c>
    </row>
    <row r="176" spans="1:16" ht="15" x14ac:dyDescent="0.25">
      <c r="A176" s="2" t="s">
        <v>202</v>
      </c>
      <c r="B176" s="2" t="s">
        <v>29</v>
      </c>
      <c r="C176" s="3" t="str">
        <f>VLOOKUP(B176,Dados!$A$3:$B$10,2,FALSE)</f>
        <v>Time 2</v>
      </c>
      <c r="D176" s="2" t="s">
        <v>18</v>
      </c>
      <c r="E176" s="2" t="s">
        <v>19</v>
      </c>
      <c r="F176" s="4">
        <v>66175359808</v>
      </c>
      <c r="G176" s="5" t="str">
        <f t="shared" si="0"/>
        <v>66175359808</v>
      </c>
      <c r="H176" s="6">
        <v>9956</v>
      </c>
      <c r="I176" s="6">
        <v>0</v>
      </c>
      <c r="J176" s="7">
        <f t="shared" si="1"/>
        <v>9956</v>
      </c>
      <c r="K176" s="7">
        <f t="shared" si="2"/>
        <v>1991.2</v>
      </c>
      <c r="L176" s="7">
        <f t="shared" si="3"/>
        <v>1</v>
      </c>
      <c r="M176" s="7">
        <f>IFERROR(VLOOKUP(G176,'Base de faturamento'!A:C,2,FALSE),0)</f>
        <v>9956</v>
      </c>
      <c r="N176" s="8">
        <f>IFERROR(VLOOKUP(G176,'Base de faturamento'!A:C,3,FALSE),0)</f>
        <v>44624</v>
      </c>
      <c r="O176" s="8">
        <f t="shared" si="4"/>
        <v>44652</v>
      </c>
      <c r="P176" s="8">
        <f t="shared" si="5"/>
        <v>44652</v>
      </c>
    </row>
    <row r="177" spans="1:16" ht="15" x14ac:dyDescent="0.25">
      <c r="A177" s="2" t="s">
        <v>203</v>
      </c>
      <c r="B177" s="2" t="s">
        <v>31</v>
      </c>
      <c r="C177" s="3" t="str">
        <f>VLOOKUP(B177,Dados!$A$3:$B$10,2,FALSE)</f>
        <v>Time 3</v>
      </c>
      <c r="D177" s="2" t="s">
        <v>22</v>
      </c>
      <c r="E177" s="2" t="s">
        <v>19</v>
      </c>
      <c r="F177" s="4">
        <v>66299021077</v>
      </c>
      <c r="G177" s="5" t="str">
        <f t="shared" si="0"/>
        <v>66299021077</v>
      </c>
      <c r="H177" s="6">
        <v>6717</v>
      </c>
      <c r="I177" s="6">
        <v>0</v>
      </c>
      <c r="J177" s="7">
        <f t="shared" si="1"/>
        <v>6717</v>
      </c>
      <c r="K177" s="7">
        <f t="shared" si="2"/>
        <v>2015.1</v>
      </c>
      <c r="L177" s="7">
        <f t="shared" si="3"/>
        <v>1</v>
      </c>
      <c r="M177" s="7">
        <f>IFERROR(VLOOKUP(G177,'Base de faturamento'!A:C,2,FALSE),0)</f>
        <v>6717</v>
      </c>
      <c r="N177" s="8">
        <f>IFERROR(VLOOKUP(G177,'Base de faturamento'!A:C,3,FALSE),0)</f>
        <v>44631</v>
      </c>
      <c r="O177" s="8">
        <f t="shared" si="4"/>
        <v>44652</v>
      </c>
      <c r="P177" s="8">
        <f t="shared" si="5"/>
        <v>44652</v>
      </c>
    </row>
    <row r="178" spans="1:16" ht="15" x14ac:dyDescent="0.25">
      <c r="A178" s="2" t="s">
        <v>204</v>
      </c>
      <c r="B178" s="2" t="s">
        <v>27</v>
      </c>
      <c r="C178" s="3" t="str">
        <f>VLOOKUP(B178,Dados!$A$3:$B$10,2,FALSE)</f>
        <v>Time 2</v>
      </c>
      <c r="D178" s="2" t="s">
        <v>22</v>
      </c>
      <c r="E178" s="2" t="s">
        <v>25</v>
      </c>
      <c r="F178" s="4">
        <v>66472026623</v>
      </c>
      <c r="G178" s="5" t="str">
        <f t="shared" si="0"/>
        <v>66472026623</v>
      </c>
      <c r="H178" s="6">
        <v>4344</v>
      </c>
      <c r="I178" s="6">
        <v>1843</v>
      </c>
      <c r="J178" s="7">
        <f t="shared" si="1"/>
        <v>2501</v>
      </c>
      <c r="K178" s="7">
        <f t="shared" si="2"/>
        <v>750.3</v>
      </c>
      <c r="L178" s="7">
        <f t="shared" si="3"/>
        <v>1</v>
      </c>
      <c r="M178" s="7">
        <f>IFERROR(VLOOKUP(G178,'Base de faturamento'!A:C,2,FALSE),0)</f>
        <v>4344</v>
      </c>
      <c r="N178" s="8">
        <f>IFERROR(VLOOKUP(G178,'Base de faturamento'!A:C,3,FALSE),0)</f>
        <v>44624</v>
      </c>
      <c r="O178" s="8">
        <f t="shared" si="4"/>
        <v>44652</v>
      </c>
      <c r="P178" s="8">
        <f t="shared" si="5"/>
        <v>44652</v>
      </c>
    </row>
    <row r="179" spans="1:16" ht="15" x14ac:dyDescent="0.25">
      <c r="A179" s="2" t="s">
        <v>205</v>
      </c>
      <c r="B179" s="2" t="s">
        <v>27</v>
      </c>
      <c r="C179" s="3" t="str">
        <f>VLOOKUP(B179,Dados!$A$3:$B$10,2,FALSE)</f>
        <v>Time 2</v>
      </c>
      <c r="D179" s="2" t="s">
        <v>18</v>
      </c>
      <c r="E179" s="2" t="s">
        <v>19</v>
      </c>
      <c r="F179" s="4">
        <v>66868051070</v>
      </c>
      <c r="G179" s="5" t="str">
        <f t="shared" si="0"/>
        <v>66868051070</v>
      </c>
      <c r="H179" s="6">
        <v>9988</v>
      </c>
      <c r="I179" s="6">
        <v>0</v>
      </c>
      <c r="J179" s="7">
        <f t="shared" si="1"/>
        <v>9988</v>
      </c>
      <c r="K179" s="7">
        <f t="shared" si="2"/>
        <v>1997.6000000000001</v>
      </c>
      <c r="L179" s="7">
        <f t="shared" si="3"/>
        <v>1</v>
      </c>
      <c r="M179" s="7">
        <f>IFERROR(VLOOKUP(G179,'Base de faturamento'!A:C,2,FALSE),0)</f>
        <v>9988</v>
      </c>
      <c r="N179" s="8">
        <f>IFERROR(VLOOKUP(G179,'Base de faturamento'!A:C,3,FALSE),0)</f>
        <v>44728</v>
      </c>
      <c r="O179" s="8">
        <f t="shared" si="4"/>
        <v>44743</v>
      </c>
      <c r="P179" s="8">
        <f t="shared" si="5"/>
        <v>44743</v>
      </c>
    </row>
    <row r="180" spans="1:16" ht="15" x14ac:dyDescent="0.25">
      <c r="A180" s="2" t="s">
        <v>206</v>
      </c>
      <c r="B180" s="2" t="s">
        <v>33</v>
      </c>
      <c r="C180" s="3" t="str">
        <f>VLOOKUP(B180,Dados!$A$3:$B$10,2,FALSE)</f>
        <v>Time 1</v>
      </c>
      <c r="D180" s="2" t="s">
        <v>18</v>
      </c>
      <c r="E180" s="2" t="s">
        <v>25</v>
      </c>
      <c r="F180" s="4">
        <v>66909179853</v>
      </c>
      <c r="G180" s="5" t="str">
        <f t="shared" si="0"/>
        <v>66909179853</v>
      </c>
      <c r="H180" s="6">
        <v>7811</v>
      </c>
      <c r="I180" s="6">
        <v>9292</v>
      </c>
      <c r="J180" s="7">
        <f t="shared" si="1"/>
        <v>0</v>
      </c>
      <c r="K180" s="7">
        <f t="shared" si="2"/>
        <v>0</v>
      </c>
      <c r="L180" s="7">
        <f t="shared" si="3"/>
        <v>1</v>
      </c>
      <c r="M180" s="7">
        <f>IFERROR(VLOOKUP(G180,'Base de faturamento'!A:C,2,FALSE),0)</f>
        <v>7811</v>
      </c>
      <c r="N180" s="8">
        <f>IFERROR(VLOOKUP(G180,'Base de faturamento'!A:C,3,FALSE),0)</f>
        <v>44715</v>
      </c>
      <c r="O180" s="8">
        <f t="shared" si="4"/>
        <v>44727</v>
      </c>
      <c r="P180" s="8">
        <f t="shared" si="5"/>
        <v>44743</v>
      </c>
    </row>
    <row r="181" spans="1:16" ht="15" x14ac:dyDescent="0.25">
      <c r="A181" s="2" t="s">
        <v>207</v>
      </c>
      <c r="B181" s="2" t="s">
        <v>17</v>
      </c>
      <c r="C181" s="3" t="str">
        <f>VLOOKUP(B181,Dados!$A$3:$B$10,2,FALSE)</f>
        <v>Time 3</v>
      </c>
      <c r="D181" s="2" t="s">
        <v>22</v>
      </c>
      <c r="E181" s="2" t="s">
        <v>25</v>
      </c>
      <c r="F181" s="4">
        <v>66915840595</v>
      </c>
      <c r="G181" s="5" t="str">
        <f t="shared" si="0"/>
        <v>66915840595</v>
      </c>
      <c r="H181" s="6">
        <v>6520</v>
      </c>
      <c r="I181" s="6">
        <v>6728</v>
      </c>
      <c r="J181" s="7">
        <f t="shared" si="1"/>
        <v>0</v>
      </c>
      <c r="K181" s="7">
        <f t="shared" si="2"/>
        <v>0</v>
      </c>
      <c r="L181" s="7">
        <f t="shared" si="3"/>
        <v>1</v>
      </c>
      <c r="M181" s="7">
        <f>IFERROR(VLOOKUP(G181,'Base de faturamento'!A:C,2,FALSE),0)</f>
        <v>6520</v>
      </c>
      <c r="N181" s="8">
        <f>IFERROR(VLOOKUP(G181,'Base de faturamento'!A:C,3,FALSE),0)</f>
        <v>44720</v>
      </c>
      <c r="O181" s="8">
        <f t="shared" si="4"/>
        <v>44743</v>
      </c>
      <c r="P181" s="8">
        <f t="shared" si="5"/>
        <v>44743</v>
      </c>
    </row>
    <row r="182" spans="1:16" ht="15" x14ac:dyDescent="0.25">
      <c r="A182" s="2" t="s">
        <v>208</v>
      </c>
      <c r="B182" s="2" t="s">
        <v>21</v>
      </c>
      <c r="C182" s="3" t="str">
        <f>VLOOKUP(B182,Dados!$A$3:$B$10,2,FALSE)</f>
        <v>Time 1</v>
      </c>
      <c r="D182" s="2" t="s">
        <v>22</v>
      </c>
      <c r="E182" s="2" t="s">
        <v>25</v>
      </c>
      <c r="F182" s="4">
        <v>66921477819</v>
      </c>
      <c r="G182" s="5" t="str">
        <f t="shared" si="0"/>
        <v>66921477819</v>
      </c>
      <c r="H182" s="6">
        <v>6266</v>
      </c>
      <c r="I182" s="6">
        <v>3546</v>
      </c>
      <c r="J182" s="7">
        <f t="shared" si="1"/>
        <v>2720</v>
      </c>
      <c r="K182" s="7">
        <f t="shared" si="2"/>
        <v>816</v>
      </c>
      <c r="L182" s="7">
        <f t="shared" si="3"/>
        <v>1</v>
      </c>
      <c r="M182" s="7">
        <f>IFERROR(VLOOKUP(G182,'Base de faturamento'!A:C,2,FALSE),0)</f>
        <v>6266</v>
      </c>
      <c r="N182" s="8">
        <f>IFERROR(VLOOKUP(G182,'Base de faturamento'!A:C,3,FALSE),0)</f>
        <v>44641</v>
      </c>
      <c r="O182" s="8">
        <f t="shared" si="4"/>
        <v>44635</v>
      </c>
      <c r="P182" s="8">
        <f t="shared" si="5"/>
        <v>44652</v>
      </c>
    </row>
    <row r="183" spans="1:16" ht="15" x14ac:dyDescent="0.25">
      <c r="A183" s="2" t="s">
        <v>209</v>
      </c>
      <c r="B183" s="2" t="s">
        <v>36</v>
      </c>
      <c r="C183" s="3" t="str">
        <f>VLOOKUP(B183,Dados!$A$3:$B$10,2,FALSE)</f>
        <v>Time 1</v>
      </c>
      <c r="D183" s="2" t="s">
        <v>22</v>
      </c>
      <c r="E183" s="2" t="s">
        <v>19</v>
      </c>
      <c r="F183" s="4">
        <v>67181396739</v>
      </c>
      <c r="G183" s="5" t="str">
        <f t="shared" si="0"/>
        <v>67181396739</v>
      </c>
      <c r="H183" s="6">
        <v>3886</v>
      </c>
      <c r="I183" s="6">
        <v>0</v>
      </c>
      <c r="J183" s="7">
        <f t="shared" si="1"/>
        <v>3886</v>
      </c>
      <c r="K183" s="7">
        <f t="shared" si="2"/>
        <v>1165.8</v>
      </c>
      <c r="L183" s="7">
        <f t="shared" si="3"/>
        <v>1</v>
      </c>
      <c r="M183" s="7">
        <f>IFERROR(VLOOKUP(G183,'Base de faturamento'!A:C,2,FALSE),0)</f>
        <v>3886</v>
      </c>
      <c r="N183" s="8">
        <f>IFERROR(VLOOKUP(G183,'Base de faturamento'!A:C,3,FALSE),0)</f>
        <v>44695</v>
      </c>
      <c r="O183" s="8">
        <f t="shared" si="4"/>
        <v>44696</v>
      </c>
      <c r="P183" s="8">
        <f t="shared" si="5"/>
        <v>44713</v>
      </c>
    </row>
    <row r="184" spans="1:16" ht="15" x14ac:dyDescent="0.25">
      <c r="A184" s="2" t="s">
        <v>210</v>
      </c>
      <c r="B184" s="2" t="s">
        <v>21</v>
      </c>
      <c r="C184" s="3" t="str">
        <f>VLOOKUP(B184,Dados!$A$3:$B$10,2,FALSE)</f>
        <v>Time 1</v>
      </c>
      <c r="D184" s="2" t="s">
        <v>18</v>
      </c>
      <c r="E184" s="2" t="s">
        <v>25</v>
      </c>
      <c r="F184" s="4">
        <v>67561313790</v>
      </c>
      <c r="G184" s="5" t="str">
        <f t="shared" si="0"/>
        <v>67561313790</v>
      </c>
      <c r="H184" s="6">
        <v>8604</v>
      </c>
      <c r="I184" s="6">
        <v>4353</v>
      </c>
      <c r="J184" s="7">
        <f t="shared" si="1"/>
        <v>4251</v>
      </c>
      <c r="K184" s="7">
        <f t="shared" si="2"/>
        <v>850.2</v>
      </c>
      <c r="L184" s="7">
        <f t="shared" si="3"/>
        <v>1</v>
      </c>
      <c r="M184" s="7">
        <f>IFERROR(VLOOKUP(G184,'Base de faturamento'!A:C,2,FALSE),0)</f>
        <v>8604</v>
      </c>
      <c r="N184" s="8">
        <f>IFERROR(VLOOKUP(G184,'Base de faturamento'!A:C,3,FALSE),0)</f>
        <v>44679</v>
      </c>
      <c r="O184" s="8">
        <f t="shared" si="4"/>
        <v>44666</v>
      </c>
      <c r="P184" s="8">
        <f t="shared" si="5"/>
        <v>44682</v>
      </c>
    </row>
    <row r="185" spans="1:16" ht="15" x14ac:dyDescent="0.25">
      <c r="A185" s="2" t="s">
        <v>211</v>
      </c>
      <c r="B185" s="2" t="s">
        <v>21</v>
      </c>
      <c r="C185" s="3" t="str">
        <f>VLOOKUP(B185,Dados!$A$3:$B$10,2,FALSE)</f>
        <v>Time 1</v>
      </c>
      <c r="D185" s="2" t="s">
        <v>22</v>
      </c>
      <c r="E185" s="2" t="s">
        <v>25</v>
      </c>
      <c r="F185" s="4">
        <v>67563233991</v>
      </c>
      <c r="G185" s="5" t="str">
        <f t="shared" si="0"/>
        <v>67563233991</v>
      </c>
      <c r="H185" s="6">
        <v>7785</v>
      </c>
      <c r="I185" s="6">
        <v>4881</v>
      </c>
      <c r="J185" s="7">
        <f t="shared" si="1"/>
        <v>2904</v>
      </c>
      <c r="K185" s="7">
        <f t="shared" si="2"/>
        <v>871.19999999999993</v>
      </c>
      <c r="L185" s="7">
        <f t="shared" si="3"/>
        <v>1</v>
      </c>
      <c r="M185" s="7">
        <f>IFERROR(VLOOKUP(G185,'Base de faturamento'!A:C,2,FALSE),0)</f>
        <v>7785</v>
      </c>
      <c r="N185" s="8">
        <f>IFERROR(VLOOKUP(G185,'Base de faturamento'!A:C,3,FALSE),0)</f>
        <v>44722</v>
      </c>
      <c r="O185" s="8">
        <f t="shared" si="4"/>
        <v>44727</v>
      </c>
      <c r="P185" s="8">
        <f t="shared" si="5"/>
        <v>44743</v>
      </c>
    </row>
    <row r="186" spans="1:16" ht="15" x14ac:dyDescent="0.25">
      <c r="A186" s="2" t="s">
        <v>212</v>
      </c>
      <c r="B186" s="2" t="s">
        <v>29</v>
      </c>
      <c r="C186" s="3" t="str">
        <f>VLOOKUP(B186,Dados!$A$3:$B$10,2,FALSE)</f>
        <v>Time 2</v>
      </c>
      <c r="D186" s="2" t="s">
        <v>18</v>
      </c>
      <c r="E186" s="2" t="s">
        <v>19</v>
      </c>
      <c r="F186" s="4">
        <v>67713493337</v>
      </c>
      <c r="G186" s="5" t="str">
        <f t="shared" si="0"/>
        <v>67713493337</v>
      </c>
      <c r="H186" s="6">
        <v>1771</v>
      </c>
      <c r="I186" s="6">
        <v>0</v>
      </c>
      <c r="J186" s="7">
        <f t="shared" si="1"/>
        <v>1771</v>
      </c>
      <c r="K186" s="7">
        <f t="shared" si="2"/>
        <v>354.20000000000005</v>
      </c>
      <c r="L186" s="7">
        <f t="shared" si="3"/>
        <v>1</v>
      </c>
      <c r="M186" s="7">
        <f>IFERROR(VLOOKUP(G186,'Base de faturamento'!A:C,2,FALSE),0)</f>
        <v>1771</v>
      </c>
      <c r="N186" s="8">
        <f>IFERROR(VLOOKUP(G186,'Base de faturamento'!A:C,3,FALSE),0)</f>
        <v>44706</v>
      </c>
      <c r="O186" s="8">
        <f t="shared" si="4"/>
        <v>44713</v>
      </c>
      <c r="P186" s="8">
        <f t="shared" si="5"/>
        <v>44713</v>
      </c>
    </row>
    <row r="187" spans="1:16" ht="15" x14ac:dyDescent="0.25">
      <c r="A187" s="2" t="s">
        <v>213</v>
      </c>
      <c r="B187" s="2" t="s">
        <v>27</v>
      </c>
      <c r="C187" s="3" t="str">
        <f>VLOOKUP(B187,Dados!$A$3:$B$10,2,FALSE)</f>
        <v>Time 2</v>
      </c>
      <c r="D187" s="2" t="s">
        <v>18</v>
      </c>
      <c r="E187" s="2" t="s">
        <v>19</v>
      </c>
      <c r="F187" s="4">
        <v>68035282558</v>
      </c>
      <c r="G187" s="5" t="str">
        <f t="shared" si="0"/>
        <v>68035282558</v>
      </c>
      <c r="H187" s="6">
        <v>9178</v>
      </c>
      <c r="I187" s="6">
        <v>0</v>
      </c>
      <c r="J187" s="7">
        <f t="shared" si="1"/>
        <v>9178</v>
      </c>
      <c r="K187" s="7">
        <f t="shared" si="2"/>
        <v>1835.6000000000001</v>
      </c>
      <c r="L187" s="7">
        <f t="shared" si="3"/>
        <v>1</v>
      </c>
      <c r="M187" s="7">
        <f>IFERROR(VLOOKUP(G187,'Base de faturamento'!A:C,2,FALSE),0)</f>
        <v>9178</v>
      </c>
      <c r="N187" s="8">
        <f>IFERROR(VLOOKUP(G187,'Base de faturamento'!A:C,3,FALSE),0)</f>
        <v>44625</v>
      </c>
      <c r="O187" s="8">
        <f t="shared" si="4"/>
        <v>44652</v>
      </c>
      <c r="P187" s="8">
        <f t="shared" si="5"/>
        <v>44652</v>
      </c>
    </row>
    <row r="188" spans="1:16" ht="15" x14ac:dyDescent="0.25">
      <c r="A188" s="2" t="s">
        <v>214</v>
      </c>
      <c r="B188" s="2" t="s">
        <v>17</v>
      </c>
      <c r="C188" s="3" t="str">
        <f>VLOOKUP(B188,Dados!$A$3:$B$10,2,FALSE)</f>
        <v>Time 3</v>
      </c>
      <c r="D188" s="2" t="s">
        <v>22</v>
      </c>
      <c r="E188" s="2" t="s">
        <v>19</v>
      </c>
      <c r="F188" s="4">
        <v>68931097764</v>
      </c>
      <c r="G188" s="5" t="str">
        <f t="shared" si="0"/>
        <v>68931097764</v>
      </c>
      <c r="H188" s="6">
        <v>4608</v>
      </c>
      <c r="I188" s="6">
        <v>0</v>
      </c>
      <c r="J188" s="7">
        <f t="shared" si="1"/>
        <v>4608</v>
      </c>
      <c r="K188" s="7">
        <f t="shared" si="2"/>
        <v>1382.3999999999999</v>
      </c>
      <c r="L188" s="7">
        <f t="shared" si="3"/>
        <v>1</v>
      </c>
      <c r="M188" s="7">
        <f>IFERROR(VLOOKUP(G188,'Base de faturamento'!A:C,2,FALSE),0)</f>
        <v>4608</v>
      </c>
      <c r="N188" s="8">
        <f>IFERROR(VLOOKUP(G188,'Base de faturamento'!A:C,3,FALSE),0)</f>
        <v>44690</v>
      </c>
      <c r="O188" s="8">
        <f t="shared" si="4"/>
        <v>44713</v>
      </c>
      <c r="P188" s="8">
        <f t="shared" si="5"/>
        <v>44713</v>
      </c>
    </row>
    <row r="189" spans="1:16" ht="15" x14ac:dyDescent="0.25">
      <c r="A189" s="2" t="s">
        <v>215</v>
      </c>
      <c r="B189" s="2" t="s">
        <v>17</v>
      </c>
      <c r="C189" s="3" t="str">
        <f>VLOOKUP(B189,Dados!$A$3:$B$10,2,FALSE)</f>
        <v>Time 3</v>
      </c>
      <c r="D189" s="2" t="s">
        <v>18</v>
      </c>
      <c r="E189" s="2" t="s">
        <v>25</v>
      </c>
      <c r="F189" s="4">
        <v>69717807793</v>
      </c>
      <c r="G189" s="5" t="str">
        <f t="shared" si="0"/>
        <v>69717807793</v>
      </c>
      <c r="H189" s="6">
        <v>4732</v>
      </c>
      <c r="I189" s="6">
        <v>8564</v>
      </c>
      <c r="J189" s="7">
        <f t="shared" si="1"/>
        <v>0</v>
      </c>
      <c r="K189" s="7">
        <f t="shared" si="2"/>
        <v>0</v>
      </c>
      <c r="L189" s="7">
        <f t="shared" si="3"/>
        <v>1</v>
      </c>
      <c r="M189" s="7">
        <f>IFERROR(VLOOKUP(G189,'Base de faturamento'!A:C,2,FALSE),0)</f>
        <v>4732</v>
      </c>
      <c r="N189" s="8">
        <f>IFERROR(VLOOKUP(G189,'Base de faturamento'!A:C,3,FALSE),0)</f>
        <v>44659</v>
      </c>
      <c r="O189" s="8">
        <f t="shared" si="4"/>
        <v>44682</v>
      </c>
      <c r="P189" s="8">
        <f t="shared" si="5"/>
        <v>44682</v>
      </c>
    </row>
    <row r="190" spans="1:16" ht="15" x14ac:dyDescent="0.25">
      <c r="A190" s="2" t="s">
        <v>216</v>
      </c>
      <c r="B190" s="2" t="s">
        <v>24</v>
      </c>
      <c r="C190" s="3" t="str">
        <f>VLOOKUP(B190,Dados!$A$3:$B$10,2,FALSE)</f>
        <v>Time 2</v>
      </c>
      <c r="D190" s="2" t="s">
        <v>22</v>
      </c>
      <c r="E190" s="2" t="s">
        <v>19</v>
      </c>
      <c r="F190" s="4">
        <v>69745639834</v>
      </c>
      <c r="G190" s="5" t="str">
        <f t="shared" si="0"/>
        <v>69745639834</v>
      </c>
      <c r="H190" s="6">
        <v>7511</v>
      </c>
      <c r="I190" s="6">
        <v>0</v>
      </c>
      <c r="J190" s="7">
        <f t="shared" si="1"/>
        <v>7511</v>
      </c>
      <c r="K190" s="7">
        <f t="shared" si="2"/>
        <v>2253.2999999999997</v>
      </c>
      <c r="L190" s="7">
        <f t="shared" si="3"/>
        <v>1</v>
      </c>
      <c r="M190" s="7">
        <f>IFERROR(VLOOKUP(G190,'Base de faturamento'!A:C,2,FALSE),0)</f>
        <v>7511</v>
      </c>
      <c r="N190" s="8">
        <f>IFERROR(VLOOKUP(G190,'Base de faturamento'!A:C,3,FALSE),0)</f>
        <v>44742</v>
      </c>
      <c r="O190" s="8">
        <f t="shared" si="4"/>
        <v>44743</v>
      </c>
      <c r="P190" s="8">
        <f t="shared" si="5"/>
        <v>44743</v>
      </c>
    </row>
    <row r="191" spans="1:16" ht="15" x14ac:dyDescent="0.25">
      <c r="A191" s="2" t="s">
        <v>217</v>
      </c>
      <c r="B191" s="2" t="s">
        <v>33</v>
      </c>
      <c r="C191" s="3" t="str">
        <f>VLOOKUP(B191,Dados!$A$3:$B$10,2,FALSE)</f>
        <v>Time 1</v>
      </c>
      <c r="D191" s="2" t="s">
        <v>18</v>
      </c>
      <c r="E191" s="2" t="s">
        <v>19</v>
      </c>
      <c r="F191" s="4">
        <v>70016533261</v>
      </c>
      <c r="G191" s="5" t="str">
        <f t="shared" si="0"/>
        <v>70016533261</v>
      </c>
      <c r="H191" s="6">
        <v>8925</v>
      </c>
      <c r="I191" s="6">
        <v>0</v>
      </c>
      <c r="J191" s="7">
        <f t="shared" si="1"/>
        <v>8925</v>
      </c>
      <c r="K191" s="7">
        <f t="shared" si="2"/>
        <v>1785</v>
      </c>
      <c r="L191" s="7">
        <f t="shared" si="3"/>
        <v>1</v>
      </c>
      <c r="M191" s="7">
        <f>IFERROR(VLOOKUP(G191,'Base de faturamento'!A:C,2,FALSE),0)</f>
        <v>8925</v>
      </c>
      <c r="N191" s="8">
        <f>IFERROR(VLOOKUP(G191,'Base de faturamento'!A:C,3,FALSE),0)</f>
        <v>44625</v>
      </c>
      <c r="O191" s="8">
        <f t="shared" si="4"/>
        <v>44635</v>
      </c>
      <c r="P191" s="8">
        <f t="shared" si="5"/>
        <v>44652</v>
      </c>
    </row>
    <row r="192" spans="1:16" ht="15" x14ac:dyDescent="0.25">
      <c r="A192" s="2" t="s">
        <v>218</v>
      </c>
      <c r="B192" s="2" t="s">
        <v>36</v>
      </c>
      <c r="C192" s="3" t="str">
        <f>VLOOKUP(B192,Dados!$A$3:$B$10,2,FALSE)</f>
        <v>Time 1</v>
      </c>
      <c r="D192" s="2" t="s">
        <v>18</v>
      </c>
      <c r="E192" s="2" t="s">
        <v>25</v>
      </c>
      <c r="F192" s="4">
        <v>70292554263</v>
      </c>
      <c r="G192" s="5" t="str">
        <f t="shared" si="0"/>
        <v>70292554263</v>
      </c>
      <c r="H192" s="6">
        <v>5656</v>
      </c>
      <c r="I192" s="6">
        <v>6869</v>
      </c>
      <c r="J192" s="7">
        <f t="shared" si="1"/>
        <v>0</v>
      </c>
      <c r="K192" s="7">
        <f t="shared" si="2"/>
        <v>0</v>
      </c>
      <c r="L192" s="7">
        <f t="shared" si="3"/>
        <v>1</v>
      </c>
      <c r="M192" s="7">
        <f>IFERROR(VLOOKUP(G192,'Base de faturamento'!A:C,2,FALSE),0)</f>
        <v>5656</v>
      </c>
      <c r="N192" s="8">
        <f>IFERROR(VLOOKUP(G192,'Base de faturamento'!A:C,3,FALSE),0)</f>
        <v>44656</v>
      </c>
      <c r="O192" s="8">
        <f t="shared" si="4"/>
        <v>44666</v>
      </c>
      <c r="P192" s="8">
        <f t="shared" si="5"/>
        <v>44682</v>
      </c>
    </row>
    <row r="193" spans="1:16" ht="15" x14ac:dyDescent="0.25">
      <c r="A193" s="2" t="s">
        <v>219</v>
      </c>
      <c r="B193" s="2" t="s">
        <v>33</v>
      </c>
      <c r="C193" s="3" t="str">
        <f>VLOOKUP(B193,Dados!$A$3:$B$10,2,FALSE)</f>
        <v>Time 1</v>
      </c>
      <c r="D193" s="2" t="s">
        <v>22</v>
      </c>
      <c r="E193" s="2" t="s">
        <v>19</v>
      </c>
      <c r="F193" s="4">
        <v>70854336178</v>
      </c>
      <c r="G193" s="5" t="str">
        <f t="shared" si="0"/>
        <v>70854336178</v>
      </c>
      <c r="H193" s="6">
        <v>9861</v>
      </c>
      <c r="I193" s="6">
        <v>0</v>
      </c>
      <c r="J193" s="7">
        <f t="shared" si="1"/>
        <v>9861</v>
      </c>
      <c r="K193" s="7">
        <f t="shared" si="2"/>
        <v>2958.2999999999997</v>
      </c>
      <c r="L193" s="7">
        <f t="shared" si="3"/>
        <v>1</v>
      </c>
      <c r="M193" s="7">
        <f>IFERROR(VLOOKUP(G193,'Base de faturamento'!A:C,2,FALSE),0)</f>
        <v>9861</v>
      </c>
      <c r="N193" s="8">
        <f>IFERROR(VLOOKUP(G193,'Base de faturamento'!A:C,3,FALSE),0)</f>
        <v>44708</v>
      </c>
      <c r="O193" s="8">
        <f t="shared" si="4"/>
        <v>44696</v>
      </c>
      <c r="P193" s="8">
        <f t="shared" si="5"/>
        <v>44713</v>
      </c>
    </row>
    <row r="194" spans="1:16" ht="15" x14ac:dyDescent="0.25">
      <c r="A194" s="2" t="s">
        <v>220</v>
      </c>
      <c r="B194" s="2" t="s">
        <v>21</v>
      </c>
      <c r="C194" s="3" t="str">
        <f>VLOOKUP(B194,Dados!$A$3:$B$10,2,FALSE)</f>
        <v>Time 1</v>
      </c>
      <c r="D194" s="2" t="s">
        <v>22</v>
      </c>
      <c r="E194" s="2" t="s">
        <v>25</v>
      </c>
      <c r="F194" s="4">
        <v>70934712060</v>
      </c>
      <c r="G194" s="5" t="str">
        <f t="shared" si="0"/>
        <v>70934712060</v>
      </c>
      <c r="H194" s="6">
        <v>6527</v>
      </c>
      <c r="I194" s="6">
        <v>4399</v>
      </c>
      <c r="J194" s="7">
        <f t="shared" si="1"/>
        <v>2128</v>
      </c>
      <c r="K194" s="7">
        <f t="shared" si="2"/>
        <v>0</v>
      </c>
      <c r="L194" s="7">
        <f t="shared" si="3"/>
        <v>0</v>
      </c>
      <c r="M194" s="7">
        <f>IFERROR(VLOOKUP(G194,'Base de faturamento'!A:C,2,FALSE),0)</f>
        <v>0</v>
      </c>
      <c r="N194" s="8">
        <f>IFERROR(VLOOKUP(G194,'Base de faturamento'!A:C,3,FALSE),0)</f>
        <v>0</v>
      </c>
      <c r="O194" s="8">
        <f t="shared" si="4"/>
        <v>15</v>
      </c>
      <c r="P194" s="9" t="b">
        <f t="shared" si="5"/>
        <v>0</v>
      </c>
    </row>
    <row r="195" spans="1:16" ht="15" x14ac:dyDescent="0.25">
      <c r="A195" s="2" t="s">
        <v>221</v>
      </c>
      <c r="B195" s="2" t="s">
        <v>31</v>
      </c>
      <c r="C195" s="3" t="str">
        <f>VLOOKUP(B195,Dados!$A$3:$B$10,2,FALSE)</f>
        <v>Time 3</v>
      </c>
      <c r="D195" s="2" t="s">
        <v>18</v>
      </c>
      <c r="E195" s="2" t="s">
        <v>25</v>
      </c>
      <c r="F195" s="4">
        <v>71164518364</v>
      </c>
      <c r="G195" s="5" t="str">
        <f t="shared" si="0"/>
        <v>71164518364</v>
      </c>
      <c r="H195" s="6">
        <v>6863</v>
      </c>
      <c r="I195" s="6">
        <v>9022</v>
      </c>
      <c r="J195" s="7">
        <f t="shared" si="1"/>
        <v>0</v>
      </c>
      <c r="K195" s="7">
        <f t="shared" si="2"/>
        <v>0</v>
      </c>
      <c r="L195" s="7">
        <f t="shared" si="3"/>
        <v>1</v>
      </c>
      <c r="M195" s="7">
        <f>IFERROR(VLOOKUP(G195,'Base de faturamento'!A:C,2,FALSE),0)</f>
        <v>6863</v>
      </c>
      <c r="N195" s="8">
        <f>IFERROR(VLOOKUP(G195,'Base de faturamento'!A:C,3,FALSE),0)</f>
        <v>44677</v>
      </c>
      <c r="O195" s="8">
        <f t="shared" si="4"/>
        <v>44682</v>
      </c>
      <c r="P195" s="8">
        <f t="shared" si="5"/>
        <v>44682</v>
      </c>
    </row>
    <row r="196" spans="1:16" ht="15" x14ac:dyDescent="0.25">
      <c r="A196" s="2" t="s">
        <v>222</v>
      </c>
      <c r="B196" s="2" t="s">
        <v>17</v>
      </c>
      <c r="C196" s="3" t="str">
        <f>VLOOKUP(B196,Dados!$A$3:$B$10,2,FALSE)</f>
        <v>Time 3</v>
      </c>
      <c r="D196" s="2" t="s">
        <v>18</v>
      </c>
      <c r="E196" s="2" t="s">
        <v>19</v>
      </c>
      <c r="F196" s="4">
        <v>71329764015</v>
      </c>
      <c r="G196" s="5" t="str">
        <f t="shared" si="0"/>
        <v>71329764015</v>
      </c>
      <c r="H196" s="6">
        <v>7386</v>
      </c>
      <c r="I196" s="6">
        <v>0</v>
      </c>
      <c r="J196" s="7">
        <f t="shared" si="1"/>
        <v>7386</v>
      </c>
      <c r="K196" s="7">
        <f t="shared" si="2"/>
        <v>1477.2</v>
      </c>
      <c r="L196" s="7">
        <f t="shared" si="3"/>
        <v>1</v>
      </c>
      <c r="M196" s="7">
        <f>IFERROR(VLOOKUP(G196,'Base de faturamento'!A:C,2,FALSE),0)</f>
        <v>7386</v>
      </c>
      <c r="N196" s="8">
        <f>IFERROR(VLOOKUP(G196,'Base de faturamento'!A:C,3,FALSE),0)</f>
        <v>44667</v>
      </c>
      <c r="O196" s="8">
        <f t="shared" si="4"/>
        <v>44682</v>
      </c>
      <c r="P196" s="8">
        <f t="shared" si="5"/>
        <v>44682</v>
      </c>
    </row>
    <row r="197" spans="1:16" ht="15" x14ac:dyDescent="0.25">
      <c r="A197" s="2" t="s">
        <v>223</v>
      </c>
      <c r="B197" s="2" t="s">
        <v>29</v>
      </c>
      <c r="C197" s="3" t="str">
        <f>VLOOKUP(B197,Dados!$A$3:$B$10,2,FALSE)</f>
        <v>Time 2</v>
      </c>
      <c r="D197" s="2" t="s">
        <v>22</v>
      </c>
      <c r="E197" s="2" t="s">
        <v>25</v>
      </c>
      <c r="F197" s="4">
        <v>71466586126</v>
      </c>
      <c r="G197" s="5" t="str">
        <f t="shared" si="0"/>
        <v>71466586126</v>
      </c>
      <c r="H197" s="6">
        <v>2199</v>
      </c>
      <c r="I197" s="6">
        <v>1971</v>
      </c>
      <c r="J197" s="7">
        <f t="shared" si="1"/>
        <v>228</v>
      </c>
      <c r="K197" s="7">
        <f t="shared" si="2"/>
        <v>68.399999999999991</v>
      </c>
      <c r="L197" s="7">
        <f t="shared" si="3"/>
        <v>1</v>
      </c>
      <c r="M197" s="7">
        <f>IFERROR(VLOOKUP(G197,'Base de faturamento'!A:C,2,FALSE),0)</f>
        <v>2199</v>
      </c>
      <c r="N197" s="8">
        <f>IFERROR(VLOOKUP(G197,'Base de faturamento'!A:C,3,FALSE),0)</f>
        <v>44654</v>
      </c>
      <c r="O197" s="8">
        <f t="shared" si="4"/>
        <v>44682</v>
      </c>
      <c r="P197" s="8">
        <f t="shared" si="5"/>
        <v>44682</v>
      </c>
    </row>
    <row r="198" spans="1:16" ht="15" x14ac:dyDescent="0.25">
      <c r="A198" s="2" t="s">
        <v>224</v>
      </c>
      <c r="B198" s="2" t="s">
        <v>24</v>
      </c>
      <c r="C198" s="3" t="str">
        <f>VLOOKUP(B198,Dados!$A$3:$B$10,2,FALSE)</f>
        <v>Time 2</v>
      </c>
      <c r="D198" s="2" t="s">
        <v>22</v>
      </c>
      <c r="E198" s="2" t="s">
        <v>19</v>
      </c>
      <c r="F198" s="4">
        <v>71566720797</v>
      </c>
      <c r="G198" s="5" t="str">
        <f t="shared" si="0"/>
        <v>71566720797</v>
      </c>
      <c r="H198" s="6">
        <v>5708</v>
      </c>
      <c r="I198" s="6">
        <v>0</v>
      </c>
      <c r="J198" s="7">
        <f t="shared" si="1"/>
        <v>5708</v>
      </c>
      <c r="K198" s="7">
        <f t="shared" si="2"/>
        <v>1712.3999999999999</v>
      </c>
      <c r="L198" s="7">
        <f t="shared" si="3"/>
        <v>1</v>
      </c>
      <c r="M198" s="7">
        <f>IFERROR(VLOOKUP(G198,'Base de faturamento'!A:C,2,FALSE),0)</f>
        <v>5708</v>
      </c>
      <c r="N198" s="8">
        <f>IFERROR(VLOOKUP(G198,'Base de faturamento'!A:C,3,FALSE),0)</f>
        <v>44648</v>
      </c>
      <c r="O198" s="8">
        <f t="shared" si="4"/>
        <v>44652</v>
      </c>
      <c r="P198" s="8">
        <f t="shared" si="5"/>
        <v>44652</v>
      </c>
    </row>
    <row r="199" spans="1:16" ht="15" x14ac:dyDescent="0.25">
      <c r="A199" s="2" t="s">
        <v>225</v>
      </c>
      <c r="B199" s="2" t="s">
        <v>21</v>
      </c>
      <c r="C199" s="3" t="str">
        <f>VLOOKUP(B199,Dados!$A$3:$B$10,2,FALSE)</f>
        <v>Time 1</v>
      </c>
      <c r="D199" s="2" t="s">
        <v>18</v>
      </c>
      <c r="E199" s="2" t="s">
        <v>19</v>
      </c>
      <c r="F199" s="4">
        <v>71742791566</v>
      </c>
      <c r="G199" s="5" t="str">
        <f t="shared" si="0"/>
        <v>71742791566</v>
      </c>
      <c r="H199" s="6">
        <v>7020</v>
      </c>
      <c r="I199" s="6">
        <v>0</v>
      </c>
      <c r="J199" s="7">
        <f t="shared" si="1"/>
        <v>7020</v>
      </c>
      <c r="K199" s="7">
        <f t="shared" si="2"/>
        <v>1404</v>
      </c>
      <c r="L199" s="7">
        <f t="shared" si="3"/>
        <v>1</v>
      </c>
      <c r="M199" s="7">
        <f>IFERROR(VLOOKUP(G199,'Base de faturamento'!A:C,2,FALSE),0)</f>
        <v>7020</v>
      </c>
      <c r="N199" s="8">
        <f>IFERROR(VLOOKUP(G199,'Base de faturamento'!A:C,3,FALSE),0)</f>
        <v>44711</v>
      </c>
      <c r="O199" s="8">
        <f t="shared" si="4"/>
        <v>44696</v>
      </c>
      <c r="P199" s="8">
        <f t="shared" si="5"/>
        <v>44713</v>
      </c>
    </row>
    <row r="200" spans="1:16" ht="15" x14ac:dyDescent="0.25">
      <c r="A200" s="2" t="s">
        <v>226</v>
      </c>
      <c r="B200" s="2" t="s">
        <v>17</v>
      </c>
      <c r="C200" s="3" t="str">
        <f>VLOOKUP(B200,Dados!$A$3:$B$10,2,FALSE)</f>
        <v>Time 3</v>
      </c>
      <c r="D200" s="2" t="s">
        <v>18</v>
      </c>
      <c r="E200" s="2" t="s">
        <v>19</v>
      </c>
      <c r="F200" s="4">
        <v>71897943376</v>
      </c>
      <c r="G200" s="5" t="str">
        <f t="shared" si="0"/>
        <v>71897943376</v>
      </c>
      <c r="H200" s="6">
        <v>2970</v>
      </c>
      <c r="I200" s="6">
        <v>0</v>
      </c>
      <c r="J200" s="7">
        <f t="shared" si="1"/>
        <v>2970</v>
      </c>
      <c r="K200" s="7">
        <f t="shared" si="2"/>
        <v>594</v>
      </c>
      <c r="L200" s="7">
        <f t="shared" si="3"/>
        <v>1</v>
      </c>
      <c r="M200" s="7">
        <f>IFERROR(VLOOKUP(G200,'Base de faturamento'!A:C,2,FALSE),0)</f>
        <v>2970</v>
      </c>
      <c r="N200" s="8">
        <f>IFERROR(VLOOKUP(G200,'Base de faturamento'!A:C,3,FALSE),0)</f>
        <v>44711</v>
      </c>
      <c r="O200" s="8">
        <f t="shared" si="4"/>
        <v>44713</v>
      </c>
      <c r="P200" s="8">
        <f t="shared" si="5"/>
        <v>44713</v>
      </c>
    </row>
    <row r="201" spans="1:16" ht="15" x14ac:dyDescent="0.25">
      <c r="A201" s="2" t="s">
        <v>227</v>
      </c>
      <c r="B201" s="2" t="s">
        <v>36</v>
      </c>
      <c r="C201" s="3" t="str">
        <f>VLOOKUP(B201,Dados!$A$3:$B$10,2,FALSE)</f>
        <v>Time 1</v>
      </c>
      <c r="D201" s="2" t="s">
        <v>18</v>
      </c>
      <c r="E201" s="2" t="s">
        <v>19</v>
      </c>
      <c r="F201" s="4">
        <v>72001804987</v>
      </c>
      <c r="G201" s="5" t="str">
        <f t="shared" si="0"/>
        <v>72001804987</v>
      </c>
      <c r="H201" s="6">
        <v>3359</v>
      </c>
      <c r="I201" s="6">
        <v>0</v>
      </c>
      <c r="J201" s="7">
        <f t="shared" si="1"/>
        <v>3359</v>
      </c>
      <c r="K201" s="7">
        <f t="shared" si="2"/>
        <v>671.80000000000007</v>
      </c>
      <c r="L201" s="7">
        <f t="shared" si="3"/>
        <v>1</v>
      </c>
      <c r="M201" s="7">
        <f>IFERROR(VLOOKUP(G201,'Base de faturamento'!A:C,2,FALSE),0)</f>
        <v>3359</v>
      </c>
      <c r="N201" s="8">
        <f>IFERROR(VLOOKUP(G201,'Base de faturamento'!A:C,3,FALSE),0)</f>
        <v>44670</v>
      </c>
      <c r="O201" s="8">
        <f t="shared" si="4"/>
        <v>44666</v>
      </c>
      <c r="P201" s="8">
        <f t="shared" si="5"/>
        <v>44682</v>
      </c>
    </row>
    <row r="202" spans="1:16" ht="15" x14ac:dyDescent="0.25">
      <c r="A202" s="2" t="s">
        <v>228</v>
      </c>
      <c r="B202" s="2" t="s">
        <v>29</v>
      </c>
      <c r="C202" s="3" t="str">
        <f>VLOOKUP(B202,Dados!$A$3:$B$10,2,FALSE)</f>
        <v>Time 2</v>
      </c>
      <c r="D202" s="2" t="s">
        <v>18</v>
      </c>
      <c r="E202" s="2" t="s">
        <v>19</v>
      </c>
      <c r="F202" s="4">
        <v>72002224773</v>
      </c>
      <c r="G202" s="5" t="str">
        <f t="shared" si="0"/>
        <v>72002224773</v>
      </c>
      <c r="H202" s="6">
        <v>7423</v>
      </c>
      <c r="I202" s="6">
        <v>0</v>
      </c>
      <c r="J202" s="7">
        <f t="shared" si="1"/>
        <v>7423</v>
      </c>
      <c r="K202" s="7">
        <f t="shared" si="2"/>
        <v>1484.6000000000001</v>
      </c>
      <c r="L202" s="7">
        <f t="shared" si="3"/>
        <v>1</v>
      </c>
      <c r="M202" s="7">
        <f>IFERROR(VLOOKUP(G202,'Base de faturamento'!A:C,2,FALSE),0)</f>
        <v>7423</v>
      </c>
      <c r="N202" s="8">
        <f>IFERROR(VLOOKUP(G202,'Base de faturamento'!A:C,3,FALSE),0)</f>
        <v>44696</v>
      </c>
      <c r="O202" s="8">
        <f t="shared" si="4"/>
        <v>44713</v>
      </c>
      <c r="P202" s="8">
        <f t="shared" si="5"/>
        <v>44713</v>
      </c>
    </row>
    <row r="203" spans="1:16" ht="15" x14ac:dyDescent="0.25">
      <c r="A203" s="2" t="s">
        <v>229</v>
      </c>
      <c r="B203" s="2" t="s">
        <v>33</v>
      </c>
      <c r="C203" s="3" t="str">
        <f>VLOOKUP(B203,Dados!$A$3:$B$10,2,FALSE)</f>
        <v>Time 1</v>
      </c>
      <c r="D203" s="2" t="s">
        <v>22</v>
      </c>
      <c r="E203" s="2" t="s">
        <v>25</v>
      </c>
      <c r="F203" s="4">
        <v>72364877592</v>
      </c>
      <c r="G203" s="5" t="str">
        <f t="shared" si="0"/>
        <v>72364877592</v>
      </c>
      <c r="H203" s="6">
        <v>5758</v>
      </c>
      <c r="I203" s="6">
        <v>5863</v>
      </c>
      <c r="J203" s="7">
        <f t="shared" si="1"/>
        <v>0</v>
      </c>
      <c r="K203" s="7">
        <f t="shared" si="2"/>
        <v>0</v>
      </c>
      <c r="L203" s="7">
        <f t="shared" si="3"/>
        <v>1</v>
      </c>
      <c r="M203" s="7">
        <f>IFERROR(VLOOKUP(G203,'Base de faturamento'!A:C,2,FALSE),0)</f>
        <v>5758</v>
      </c>
      <c r="N203" s="8">
        <f>IFERROR(VLOOKUP(G203,'Base de faturamento'!A:C,3,FALSE),0)</f>
        <v>44688</v>
      </c>
      <c r="O203" s="8">
        <f t="shared" si="4"/>
        <v>44696</v>
      </c>
      <c r="P203" s="8">
        <f t="shared" si="5"/>
        <v>44713</v>
      </c>
    </row>
    <row r="204" spans="1:16" ht="15" x14ac:dyDescent="0.25">
      <c r="A204" s="2" t="s">
        <v>230</v>
      </c>
      <c r="B204" s="2" t="s">
        <v>21</v>
      </c>
      <c r="C204" s="3" t="str">
        <f>VLOOKUP(B204,Dados!$A$3:$B$10,2,FALSE)</f>
        <v>Time 1</v>
      </c>
      <c r="D204" s="2" t="s">
        <v>22</v>
      </c>
      <c r="E204" s="2" t="s">
        <v>19</v>
      </c>
      <c r="F204" s="4">
        <v>72374777914</v>
      </c>
      <c r="G204" s="5" t="str">
        <f t="shared" si="0"/>
        <v>72374777914</v>
      </c>
      <c r="H204" s="6">
        <v>7389</v>
      </c>
      <c r="I204" s="6">
        <v>0</v>
      </c>
      <c r="J204" s="7">
        <f t="shared" si="1"/>
        <v>7389</v>
      </c>
      <c r="K204" s="7">
        <f t="shared" si="2"/>
        <v>2216.6999999999998</v>
      </c>
      <c r="L204" s="7">
        <f t="shared" si="3"/>
        <v>1</v>
      </c>
      <c r="M204" s="7">
        <f>IFERROR(VLOOKUP(G204,'Base de faturamento'!A:C,2,FALSE),0)</f>
        <v>7389</v>
      </c>
      <c r="N204" s="8">
        <f>IFERROR(VLOOKUP(G204,'Base de faturamento'!A:C,3,FALSE),0)</f>
        <v>44622</v>
      </c>
      <c r="O204" s="8">
        <f t="shared" si="4"/>
        <v>44635</v>
      </c>
      <c r="P204" s="8">
        <f t="shared" si="5"/>
        <v>44652</v>
      </c>
    </row>
    <row r="205" spans="1:16" ht="15" x14ac:dyDescent="0.25">
      <c r="A205" s="2" t="s">
        <v>231</v>
      </c>
      <c r="B205" s="2" t="s">
        <v>31</v>
      </c>
      <c r="C205" s="3" t="str">
        <f>VLOOKUP(B205,Dados!$A$3:$B$10,2,FALSE)</f>
        <v>Time 3</v>
      </c>
      <c r="D205" s="2" t="s">
        <v>22</v>
      </c>
      <c r="E205" s="2" t="s">
        <v>25</v>
      </c>
      <c r="F205" s="4">
        <v>72565871307</v>
      </c>
      <c r="G205" s="5" t="str">
        <f t="shared" si="0"/>
        <v>72565871307</v>
      </c>
      <c r="H205" s="6">
        <v>1251</v>
      </c>
      <c r="I205" s="6">
        <v>1383</v>
      </c>
      <c r="J205" s="7">
        <f t="shared" si="1"/>
        <v>0</v>
      </c>
      <c r="K205" s="7">
        <f t="shared" si="2"/>
        <v>0</v>
      </c>
      <c r="L205" s="7">
        <f t="shared" si="3"/>
        <v>0</v>
      </c>
      <c r="M205" s="7">
        <f>IFERROR(VLOOKUP(G205,'Base de faturamento'!A:C,2,FALSE),0)</f>
        <v>0</v>
      </c>
      <c r="N205" s="8">
        <f>IFERROR(VLOOKUP(G205,'Base de faturamento'!A:C,3,FALSE),0)</f>
        <v>0</v>
      </c>
      <c r="O205" s="8">
        <f t="shared" si="4"/>
        <v>32</v>
      </c>
      <c r="P205" s="9" t="b">
        <f t="shared" si="5"/>
        <v>0</v>
      </c>
    </row>
    <row r="206" spans="1:16" ht="15" x14ac:dyDescent="0.25">
      <c r="A206" s="2" t="s">
        <v>232</v>
      </c>
      <c r="B206" s="2" t="s">
        <v>29</v>
      </c>
      <c r="C206" s="3" t="str">
        <f>VLOOKUP(B206,Dados!$A$3:$B$10,2,FALSE)</f>
        <v>Time 2</v>
      </c>
      <c r="D206" s="2" t="s">
        <v>22</v>
      </c>
      <c r="E206" s="2" t="s">
        <v>25</v>
      </c>
      <c r="F206" s="4">
        <v>72642874240</v>
      </c>
      <c r="G206" s="5" t="str">
        <f t="shared" si="0"/>
        <v>72642874240</v>
      </c>
      <c r="H206" s="6">
        <v>8349</v>
      </c>
      <c r="I206" s="6">
        <v>8525</v>
      </c>
      <c r="J206" s="7">
        <f t="shared" si="1"/>
        <v>0</v>
      </c>
      <c r="K206" s="7">
        <f t="shared" si="2"/>
        <v>0</v>
      </c>
      <c r="L206" s="7">
        <f t="shared" si="3"/>
        <v>0</v>
      </c>
      <c r="M206" s="7">
        <f>IFERROR(VLOOKUP(G206,'Base de faturamento'!A:C,2,FALSE),0)</f>
        <v>0</v>
      </c>
      <c r="N206" s="8">
        <f>IFERROR(VLOOKUP(G206,'Base de faturamento'!A:C,3,FALSE),0)</f>
        <v>0</v>
      </c>
      <c r="O206" s="8">
        <f t="shared" si="4"/>
        <v>32</v>
      </c>
      <c r="P206" s="9" t="b">
        <f t="shared" si="5"/>
        <v>0</v>
      </c>
    </row>
    <row r="207" spans="1:16" ht="15" x14ac:dyDescent="0.25">
      <c r="A207" s="2" t="s">
        <v>233</v>
      </c>
      <c r="B207" s="2" t="s">
        <v>17</v>
      </c>
      <c r="C207" s="3" t="str">
        <f>VLOOKUP(B207,Dados!$A$3:$B$10,2,FALSE)</f>
        <v>Time 3</v>
      </c>
      <c r="D207" s="2" t="s">
        <v>22</v>
      </c>
      <c r="E207" s="2" t="s">
        <v>19</v>
      </c>
      <c r="F207" s="4">
        <v>72985861489</v>
      </c>
      <c r="G207" s="5" t="str">
        <f t="shared" si="0"/>
        <v>72985861489</v>
      </c>
      <c r="H207" s="6">
        <v>1326</v>
      </c>
      <c r="I207" s="6">
        <v>0</v>
      </c>
      <c r="J207" s="7">
        <f t="shared" si="1"/>
        <v>1326</v>
      </c>
      <c r="K207" s="7">
        <f t="shared" si="2"/>
        <v>397.8</v>
      </c>
      <c r="L207" s="7">
        <f t="shared" si="3"/>
        <v>1</v>
      </c>
      <c r="M207" s="7">
        <f>IFERROR(VLOOKUP(G207,'Base de faturamento'!A:C,2,FALSE),0)</f>
        <v>1326</v>
      </c>
      <c r="N207" s="8">
        <f>IFERROR(VLOOKUP(G207,'Base de faturamento'!A:C,3,FALSE),0)</f>
        <v>44635</v>
      </c>
      <c r="O207" s="8">
        <f t="shared" si="4"/>
        <v>44652</v>
      </c>
      <c r="P207" s="8">
        <f t="shared" si="5"/>
        <v>44652</v>
      </c>
    </row>
    <row r="208" spans="1:16" ht="15" x14ac:dyDescent="0.25">
      <c r="A208" s="2" t="s">
        <v>234</v>
      </c>
      <c r="B208" s="2" t="s">
        <v>33</v>
      </c>
      <c r="C208" s="3" t="str">
        <f>VLOOKUP(B208,Dados!$A$3:$B$10,2,FALSE)</f>
        <v>Time 1</v>
      </c>
      <c r="D208" s="2" t="s">
        <v>18</v>
      </c>
      <c r="E208" s="2" t="s">
        <v>19</v>
      </c>
      <c r="F208" s="4">
        <v>73364083091</v>
      </c>
      <c r="G208" s="5" t="str">
        <f t="shared" si="0"/>
        <v>73364083091</v>
      </c>
      <c r="H208" s="6">
        <v>6396</v>
      </c>
      <c r="I208" s="6">
        <v>0</v>
      </c>
      <c r="J208" s="7">
        <f t="shared" si="1"/>
        <v>6396</v>
      </c>
      <c r="K208" s="7">
        <f t="shared" si="2"/>
        <v>1279.2</v>
      </c>
      <c r="L208" s="7">
        <f t="shared" si="3"/>
        <v>1</v>
      </c>
      <c r="M208" s="7">
        <f>IFERROR(VLOOKUP(G208,'Base de faturamento'!A:C,2,FALSE),0)</f>
        <v>6396</v>
      </c>
      <c r="N208" s="8">
        <f>IFERROR(VLOOKUP(G208,'Base de faturamento'!A:C,3,FALSE),0)</f>
        <v>44622</v>
      </c>
      <c r="O208" s="8">
        <f t="shared" si="4"/>
        <v>44635</v>
      </c>
      <c r="P208" s="8">
        <f t="shared" si="5"/>
        <v>44652</v>
      </c>
    </row>
    <row r="209" spans="1:16" ht="15" x14ac:dyDescent="0.25">
      <c r="A209" s="2" t="s">
        <v>235</v>
      </c>
      <c r="B209" s="2" t="s">
        <v>36</v>
      </c>
      <c r="C209" s="3" t="str">
        <f>VLOOKUP(B209,Dados!$A$3:$B$10,2,FALSE)</f>
        <v>Time 1</v>
      </c>
      <c r="D209" s="2" t="s">
        <v>22</v>
      </c>
      <c r="E209" s="2" t="s">
        <v>19</v>
      </c>
      <c r="F209" s="4">
        <v>73443305972</v>
      </c>
      <c r="G209" s="5" t="str">
        <f t="shared" si="0"/>
        <v>73443305972</v>
      </c>
      <c r="H209" s="6">
        <v>1197</v>
      </c>
      <c r="I209" s="6">
        <v>0</v>
      </c>
      <c r="J209" s="7">
        <f t="shared" si="1"/>
        <v>1197</v>
      </c>
      <c r="K209" s="7">
        <f t="shared" si="2"/>
        <v>359.09999999999997</v>
      </c>
      <c r="L209" s="7">
        <f t="shared" si="3"/>
        <v>1</v>
      </c>
      <c r="M209" s="7">
        <f>IFERROR(VLOOKUP(G209,'Base de faturamento'!A:C,2,FALSE),0)</f>
        <v>1197</v>
      </c>
      <c r="N209" s="8">
        <f>IFERROR(VLOOKUP(G209,'Base de faturamento'!A:C,3,FALSE),0)</f>
        <v>44688</v>
      </c>
      <c r="O209" s="8">
        <f t="shared" si="4"/>
        <v>44696</v>
      </c>
      <c r="P209" s="8">
        <f t="shared" si="5"/>
        <v>44713</v>
      </c>
    </row>
    <row r="210" spans="1:16" ht="15" x14ac:dyDescent="0.25">
      <c r="A210" s="2" t="s">
        <v>236</v>
      </c>
      <c r="B210" s="2" t="s">
        <v>36</v>
      </c>
      <c r="C210" s="3" t="str">
        <f>VLOOKUP(B210,Dados!$A$3:$B$10,2,FALSE)</f>
        <v>Time 1</v>
      </c>
      <c r="D210" s="2" t="s">
        <v>18</v>
      </c>
      <c r="E210" s="2" t="s">
        <v>25</v>
      </c>
      <c r="F210" s="4">
        <v>73820522983</v>
      </c>
      <c r="G210" s="5" t="str">
        <f t="shared" si="0"/>
        <v>73820522983</v>
      </c>
      <c r="H210" s="6">
        <v>7136</v>
      </c>
      <c r="I210" s="6">
        <v>6676</v>
      </c>
      <c r="J210" s="7">
        <f t="shared" si="1"/>
        <v>460</v>
      </c>
      <c r="K210" s="7">
        <f t="shared" si="2"/>
        <v>92</v>
      </c>
      <c r="L210" s="7">
        <f t="shared" si="3"/>
        <v>1</v>
      </c>
      <c r="M210" s="7">
        <f>IFERROR(VLOOKUP(G210,'Base de faturamento'!A:C,2,FALSE),0)</f>
        <v>7136</v>
      </c>
      <c r="N210" s="8">
        <f>IFERROR(VLOOKUP(G210,'Base de faturamento'!A:C,3,FALSE),0)</f>
        <v>44632</v>
      </c>
      <c r="O210" s="8">
        <f t="shared" si="4"/>
        <v>44635</v>
      </c>
      <c r="P210" s="8">
        <f t="shared" si="5"/>
        <v>44652</v>
      </c>
    </row>
    <row r="211" spans="1:16" ht="15" x14ac:dyDescent="0.25">
      <c r="A211" s="2" t="s">
        <v>237</v>
      </c>
      <c r="B211" s="2" t="s">
        <v>36</v>
      </c>
      <c r="C211" s="3" t="str">
        <f>VLOOKUP(B211,Dados!$A$3:$B$10,2,FALSE)</f>
        <v>Time 1</v>
      </c>
      <c r="D211" s="2" t="s">
        <v>18</v>
      </c>
      <c r="E211" s="2" t="s">
        <v>25</v>
      </c>
      <c r="F211" s="4">
        <v>74680883174</v>
      </c>
      <c r="G211" s="5" t="str">
        <f t="shared" si="0"/>
        <v>74680883174</v>
      </c>
      <c r="H211" s="6">
        <v>9131</v>
      </c>
      <c r="I211" s="6">
        <v>1263</v>
      </c>
      <c r="J211" s="7">
        <f t="shared" si="1"/>
        <v>7868</v>
      </c>
      <c r="K211" s="7">
        <f t="shared" si="2"/>
        <v>1573.6000000000001</v>
      </c>
      <c r="L211" s="7">
        <f t="shared" si="3"/>
        <v>1</v>
      </c>
      <c r="M211" s="7">
        <f>IFERROR(VLOOKUP(G211,'Base de faturamento'!A:C,2,FALSE),0)</f>
        <v>9131</v>
      </c>
      <c r="N211" s="8">
        <f>IFERROR(VLOOKUP(G211,'Base de faturamento'!A:C,3,FALSE),0)</f>
        <v>44649</v>
      </c>
      <c r="O211" s="8">
        <f t="shared" si="4"/>
        <v>44635</v>
      </c>
      <c r="P211" s="8">
        <f t="shared" si="5"/>
        <v>44652</v>
      </c>
    </row>
    <row r="212" spans="1:16" ht="15" x14ac:dyDescent="0.25">
      <c r="A212" s="2" t="s">
        <v>238</v>
      </c>
      <c r="B212" s="2" t="s">
        <v>31</v>
      </c>
      <c r="C212" s="3" t="str">
        <f>VLOOKUP(B212,Dados!$A$3:$B$10,2,FALSE)</f>
        <v>Time 3</v>
      </c>
      <c r="D212" s="2" t="s">
        <v>22</v>
      </c>
      <c r="E212" s="2" t="s">
        <v>25</v>
      </c>
      <c r="F212" s="4">
        <v>74744535315</v>
      </c>
      <c r="G212" s="5" t="str">
        <f t="shared" si="0"/>
        <v>74744535315</v>
      </c>
      <c r="H212" s="6">
        <v>3485</v>
      </c>
      <c r="I212" s="6">
        <v>5391</v>
      </c>
      <c r="J212" s="7">
        <f t="shared" si="1"/>
        <v>0</v>
      </c>
      <c r="K212" s="7">
        <f t="shared" si="2"/>
        <v>0</v>
      </c>
      <c r="L212" s="7">
        <f t="shared" si="3"/>
        <v>0</v>
      </c>
      <c r="M212" s="7">
        <f>IFERROR(VLOOKUP(G212,'Base de faturamento'!A:C,2,FALSE),0)</f>
        <v>0</v>
      </c>
      <c r="N212" s="8">
        <f>IFERROR(VLOOKUP(G212,'Base de faturamento'!A:C,3,FALSE),0)</f>
        <v>0</v>
      </c>
      <c r="O212" s="8">
        <f t="shared" si="4"/>
        <v>32</v>
      </c>
      <c r="P212" s="9" t="b">
        <f t="shared" si="5"/>
        <v>0</v>
      </c>
    </row>
    <row r="213" spans="1:16" ht="15" x14ac:dyDescent="0.25">
      <c r="A213" s="2" t="s">
        <v>239</v>
      </c>
      <c r="B213" s="2" t="s">
        <v>33</v>
      </c>
      <c r="C213" s="3" t="str">
        <f>VLOOKUP(B213,Dados!$A$3:$B$10,2,FALSE)</f>
        <v>Time 1</v>
      </c>
      <c r="D213" s="2" t="s">
        <v>18</v>
      </c>
      <c r="E213" s="2" t="s">
        <v>25</v>
      </c>
      <c r="F213" s="4">
        <v>74806657227</v>
      </c>
      <c r="G213" s="5" t="str">
        <f t="shared" si="0"/>
        <v>74806657227</v>
      </c>
      <c r="H213" s="6">
        <v>4644</v>
      </c>
      <c r="I213" s="6">
        <v>9339</v>
      </c>
      <c r="J213" s="7">
        <f t="shared" si="1"/>
        <v>0</v>
      </c>
      <c r="K213" s="7">
        <f t="shared" si="2"/>
        <v>0</v>
      </c>
      <c r="L213" s="7">
        <f t="shared" si="3"/>
        <v>1</v>
      </c>
      <c r="M213" s="7">
        <f>IFERROR(VLOOKUP(G213,'Base de faturamento'!A:C,2,FALSE),0)</f>
        <v>4644</v>
      </c>
      <c r="N213" s="8">
        <f>IFERROR(VLOOKUP(G213,'Base de faturamento'!A:C,3,FALSE),0)</f>
        <v>44728</v>
      </c>
      <c r="O213" s="8">
        <f t="shared" si="4"/>
        <v>44727</v>
      </c>
      <c r="P213" s="8">
        <f t="shared" si="5"/>
        <v>44743</v>
      </c>
    </row>
    <row r="214" spans="1:16" ht="15" x14ac:dyDescent="0.25">
      <c r="A214" s="2" t="s">
        <v>240</v>
      </c>
      <c r="B214" s="2" t="s">
        <v>21</v>
      </c>
      <c r="C214" s="3" t="str">
        <f>VLOOKUP(B214,Dados!$A$3:$B$10,2,FALSE)</f>
        <v>Time 1</v>
      </c>
      <c r="D214" s="2" t="s">
        <v>22</v>
      </c>
      <c r="E214" s="2" t="s">
        <v>25</v>
      </c>
      <c r="F214" s="4">
        <v>74903640390</v>
      </c>
      <c r="G214" s="5" t="str">
        <f t="shared" si="0"/>
        <v>74903640390</v>
      </c>
      <c r="H214" s="6">
        <v>1910</v>
      </c>
      <c r="I214" s="6">
        <v>4072</v>
      </c>
      <c r="J214" s="7">
        <f t="shared" si="1"/>
        <v>0</v>
      </c>
      <c r="K214" s="7">
        <f t="shared" si="2"/>
        <v>0</v>
      </c>
      <c r="L214" s="7">
        <f t="shared" si="3"/>
        <v>1</v>
      </c>
      <c r="M214" s="7">
        <f>IFERROR(VLOOKUP(G214,'Base de faturamento'!A:C,2,FALSE),0)</f>
        <v>1910</v>
      </c>
      <c r="N214" s="8">
        <f>IFERROR(VLOOKUP(G214,'Base de faturamento'!A:C,3,FALSE),0)</f>
        <v>44669</v>
      </c>
      <c r="O214" s="8">
        <f t="shared" si="4"/>
        <v>44666</v>
      </c>
      <c r="P214" s="8">
        <f t="shared" si="5"/>
        <v>44682</v>
      </c>
    </row>
    <row r="215" spans="1:16" ht="15" x14ac:dyDescent="0.25">
      <c r="A215" s="2" t="s">
        <v>241</v>
      </c>
      <c r="B215" s="2" t="s">
        <v>36</v>
      </c>
      <c r="C215" s="3" t="str">
        <f>VLOOKUP(B215,Dados!$A$3:$B$10,2,FALSE)</f>
        <v>Time 1</v>
      </c>
      <c r="D215" s="2" t="s">
        <v>18</v>
      </c>
      <c r="E215" s="2" t="s">
        <v>19</v>
      </c>
      <c r="F215" s="4">
        <v>75131787960</v>
      </c>
      <c r="G215" s="5" t="str">
        <f t="shared" si="0"/>
        <v>75131787960</v>
      </c>
      <c r="H215" s="6">
        <v>9723</v>
      </c>
      <c r="I215" s="6">
        <v>0</v>
      </c>
      <c r="J215" s="7">
        <f t="shared" si="1"/>
        <v>9723</v>
      </c>
      <c r="K215" s="7">
        <f t="shared" si="2"/>
        <v>1944.6000000000001</v>
      </c>
      <c r="L215" s="7">
        <f t="shared" si="3"/>
        <v>1</v>
      </c>
      <c r="M215" s="7">
        <f>IFERROR(VLOOKUP(G215,'Base de faturamento'!A:C,2,FALSE),0)</f>
        <v>9723</v>
      </c>
      <c r="N215" s="8">
        <f>IFERROR(VLOOKUP(G215,'Base de faturamento'!A:C,3,FALSE),0)</f>
        <v>44660</v>
      </c>
      <c r="O215" s="8">
        <f t="shared" si="4"/>
        <v>44666</v>
      </c>
      <c r="P215" s="8">
        <f t="shared" si="5"/>
        <v>44682</v>
      </c>
    </row>
    <row r="216" spans="1:16" ht="15" x14ac:dyDescent="0.25">
      <c r="A216" s="2" t="s">
        <v>242</v>
      </c>
      <c r="B216" s="2" t="s">
        <v>21</v>
      </c>
      <c r="C216" s="3" t="str">
        <f>VLOOKUP(B216,Dados!$A$3:$B$10,2,FALSE)</f>
        <v>Time 1</v>
      </c>
      <c r="D216" s="2" t="s">
        <v>22</v>
      </c>
      <c r="E216" s="2" t="s">
        <v>19</v>
      </c>
      <c r="F216" s="4">
        <v>75175476786</v>
      </c>
      <c r="G216" s="5" t="str">
        <f t="shared" si="0"/>
        <v>75175476786</v>
      </c>
      <c r="H216" s="6">
        <v>8443</v>
      </c>
      <c r="I216" s="6">
        <v>0</v>
      </c>
      <c r="J216" s="7">
        <f t="shared" si="1"/>
        <v>8443</v>
      </c>
      <c r="K216" s="7">
        <f t="shared" si="2"/>
        <v>2532.9</v>
      </c>
      <c r="L216" s="7">
        <f t="shared" si="3"/>
        <v>1</v>
      </c>
      <c r="M216" s="7">
        <f>IFERROR(VLOOKUP(G216,'Base de faturamento'!A:C,2,FALSE),0)</f>
        <v>8443</v>
      </c>
      <c r="N216" s="8">
        <f>IFERROR(VLOOKUP(G216,'Base de faturamento'!A:C,3,FALSE),0)</f>
        <v>44687</v>
      </c>
      <c r="O216" s="8">
        <f t="shared" si="4"/>
        <v>44696</v>
      </c>
      <c r="P216" s="8">
        <f t="shared" si="5"/>
        <v>44713</v>
      </c>
    </row>
    <row r="217" spans="1:16" ht="15" x14ac:dyDescent="0.25">
      <c r="A217" s="2" t="s">
        <v>243</v>
      </c>
      <c r="B217" s="2" t="s">
        <v>36</v>
      </c>
      <c r="C217" s="3" t="str">
        <f>VLOOKUP(B217,Dados!$A$3:$B$10,2,FALSE)</f>
        <v>Time 1</v>
      </c>
      <c r="D217" s="2" t="s">
        <v>22</v>
      </c>
      <c r="E217" s="2" t="s">
        <v>25</v>
      </c>
      <c r="F217" s="4">
        <v>75252280913</v>
      </c>
      <c r="G217" s="5" t="str">
        <f t="shared" si="0"/>
        <v>75252280913</v>
      </c>
      <c r="H217" s="6">
        <v>1242</v>
      </c>
      <c r="I217" s="6">
        <v>3588</v>
      </c>
      <c r="J217" s="7">
        <f t="shared" si="1"/>
        <v>0</v>
      </c>
      <c r="K217" s="7">
        <f t="shared" si="2"/>
        <v>0</v>
      </c>
      <c r="L217" s="7">
        <f t="shared" si="3"/>
        <v>1</v>
      </c>
      <c r="M217" s="7">
        <f>IFERROR(VLOOKUP(G217,'Base de faturamento'!A:C,2,FALSE),0)</f>
        <v>1242</v>
      </c>
      <c r="N217" s="8">
        <f>IFERROR(VLOOKUP(G217,'Base de faturamento'!A:C,3,FALSE),0)</f>
        <v>44641</v>
      </c>
      <c r="O217" s="8">
        <f t="shared" si="4"/>
        <v>44635</v>
      </c>
      <c r="P217" s="8">
        <f t="shared" si="5"/>
        <v>44652</v>
      </c>
    </row>
    <row r="218" spans="1:16" ht="15" x14ac:dyDescent="0.25">
      <c r="A218" s="2" t="s">
        <v>244</v>
      </c>
      <c r="B218" s="2" t="s">
        <v>31</v>
      </c>
      <c r="C218" s="3" t="str">
        <f>VLOOKUP(B218,Dados!$A$3:$B$10,2,FALSE)</f>
        <v>Time 3</v>
      </c>
      <c r="D218" s="2" t="s">
        <v>22</v>
      </c>
      <c r="E218" s="2" t="s">
        <v>19</v>
      </c>
      <c r="F218" s="4">
        <v>75630002663</v>
      </c>
      <c r="G218" s="5" t="str">
        <f t="shared" si="0"/>
        <v>75630002663</v>
      </c>
      <c r="H218" s="6">
        <v>3565</v>
      </c>
      <c r="I218" s="6">
        <v>0</v>
      </c>
      <c r="J218" s="7">
        <f t="shared" si="1"/>
        <v>3565</v>
      </c>
      <c r="K218" s="7">
        <f t="shared" si="2"/>
        <v>1069.5</v>
      </c>
      <c r="L218" s="7">
        <f t="shared" si="3"/>
        <v>1</v>
      </c>
      <c r="M218" s="7">
        <f>IFERROR(VLOOKUP(G218,'Base de faturamento'!A:C,2,FALSE),0)</f>
        <v>3565</v>
      </c>
      <c r="N218" s="8">
        <f>IFERROR(VLOOKUP(G218,'Base de faturamento'!A:C,3,FALSE),0)</f>
        <v>44662</v>
      </c>
      <c r="O218" s="8">
        <f t="shared" si="4"/>
        <v>44682</v>
      </c>
      <c r="P218" s="8">
        <f t="shared" si="5"/>
        <v>44682</v>
      </c>
    </row>
    <row r="219" spans="1:16" ht="15" x14ac:dyDescent="0.25">
      <c r="A219" s="2" t="s">
        <v>245</v>
      </c>
      <c r="B219" s="2" t="s">
        <v>17</v>
      </c>
      <c r="C219" s="3" t="str">
        <f>VLOOKUP(B219,Dados!$A$3:$B$10,2,FALSE)</f>
        <v>Time 3</v>
      </c>
      <c r="D219" s="2" t="s">
        <v>22</v>
      </c>
      <c r="E219" s="2" t="s">
        <v>19</v>
      </c>
      <c r="F219" s="4">
        <v>75945832948</v>
      </c>
      <c r="G219" s="5" t="str">
        <f t="shared" si="0"/>
        <v>75945832948</v>
      </c>
      <c r="H219" s="6">
        <v>7140</v>
      </c>
      <c r="I219" s="6">
        <v>0</v>
      </c>
      <c r="J219" s="7">
        <f t="shared" si="1"/>
        <v>7140</v>
      </c>
      <c r="K219" s="7">
        <f t="shared" si="2"/>
        <v>2142</v>
      </c>
      <c r="L219" s="7">
        <f t="shared" si="3"/>
        <v>1</v>
      </c>
      <c r="M219" s="7">
        <f>IFERROR(VLOOKUP(G219,'Base de faturamento'!A:C,2,FALSE),0)</f>
        <v>7140</v>
      </c>
      <c r="N219" s="8">
        <f>IFERROR(VLOOKUP(G219,'Base de faturamento'!A:C,3,FALSE),0)</f>
        <v>44629</v>
      </c>
      <c r="O219" s="8">
        <f t="shared" si="4"/>
        <v>44652</v>
      </c>
      <c r="P219" s="8">
        <f t="shared" si="5"/>
        <v>44652</v>
      </c>
    </row>
    <row r="220" spans="1:16" ht="15" x14ac:dyDescent="0.25">
      <c r="A220" s="2" t="s">
        <v>246</v>
      </c>
      <c r="B220" s="2" t="s">
        <v>31</v>
      </c>
      <c r="C220" s="3" t="str">
        <f>VLOOKUP(B220,Dados!$A$3:$B$10,2,FALSE)</f>
        <v>Time 3</v>
      </c>
      <c r="D220" s="2" t="s">
        <v>18</v>
      </c>
      <c r="E220" s="2" t="s">
        <v>19</v>
      </c>
      <c r="F220" s="4">
        <v>76405264483</v>
      </c>
      <c r="G220" s="5" t="str">
        <f t="shared" si="0"/>
        <v>76405264483</v>
      </c>
      <c r="H220" s="6">
        <v>6059</v>
      </c>
      <c r="I220" s="6">
        <v>0</v>
      </c>
      <c r="J220" s="7">
        <f t="shared" si="1"/>
        <v>6059</v>
      </c>
      <c r="K220" s="7">
        <f t="shared" si="2"/>
        <v>1211.8</v>
      </c>
      <c r="L220" s="7">
        <f t="shared" si="3"/>
        <v>1</v>
      </c>
      <c r="M220" s="7">
        <f>IFERROR(VLOOKUP(G220,'Base de faturamento'!A:C,2,FALSE),0)</f>
        <v>6059</v>
      </c>
      <c r="N220" s="8">
        <f>IFERROR(VLOOKUP(G220,'Base de faturamento'!A:C,3,FALSE),0)</f>
        <v>44712</v>
      </c>
      <c r="O220" s="8">
        <f t="shared" si="4"/>
        <v>44713</v>
      </c>
      <c r="P220" s="8">
        <f t="shared" si="5"/>
        <v>44713</v>
      </c>
    </row>
    <row r="221" spans="1:16" ht="15" x14ac:dyDescent="0.25">
      <c r="A221" s="2" t="s">
        <v>247</v>
      </c>
      <c r="B221" s="2" t="s">
        <v>27</v>
      </c>
      <c r="C221" s="3" t="str">
        <f>VLOOKUP(B221,Dados!$A$3:$B$10,2,FALSE)</f>
        <v>Time 2</v>
      </c>
      <c r="D221" s="2" t="s">
        <v>18</v>
      </c>
      <c r="E221" s="2" t="s">
        <v>19</v>
      </c>
      <c r="F221" s="4">
        <v>76514001923</v>
      </c>
      <c r="G221" s="5" t="str">
        <f t="shared" si="0"/>
        <v>76514001923</v>
      </c>
      <c r="H221" s="6">
        <v>4553</v>
      </c>
      <c r="I221" s="6">
        <v>0</v>
      </c>
      <c r="J221" s="7">
        <f t="shared" si="1"/>
        <v>4553</v>
      </c>
      <c r="K221" s="7">
        <f t="shared" si="2"/>
        <v>910.6</v>
      </c>
      <c r="L221" s="7">
        <f t="shared" si="3"/>
        <v>1</v>
      </c>
      <c r="M221" s="7">
        <f>IFERROR(VLOOKUP(G221,'Base de faturamento'!A:C,2,FALSE),0)</f>
        <v>4553</v>
      </c>
      <c r="N221" s="8">
        <f>IFERROR(VLOOKUP(G221,'Base de faturamento'!A:C,3,FALSE),0)</f>
        <v>44621</v>
      </c>
      <c r="O221" s="8">
        <f t="shared" si="4"/>
        <v>44652</v>
      </c>
      <c r="P221" s="8">
        <f t="shared" si="5"/>
        <v>44652</v>
      </c>
    </row>
    <row r="222" spans="1:16" ht="15" x14ac:dyDescent="0.25">
      <c r="A222" s="2" t="s">
        <v>248</v>
      </c>
      <c r="B222" s="2" t="s">
        <v>31</v>
      </c>
      <c r="C222" s="3" t="str">
        <f>VLOOKUP(B222,Dados!$A$3:$B$10,2,FALSE)</f>
        <v>Time 3</v>
      </c>
      <c r="D222" s="2" t="s">
        <v>18</v>
      </c>
      <c r="E222" s="2" t="s">
        <v>25</v>
      </c>
      <c r="F222" s="4">
        <v>76720670292</v>
      </c>
      <c r="G222" s="5" t="str">
        <f t="shared" si="0"/>
        <v>76720670292</v>
      </c>
      <c r="H222" s="6">
        <v>8117</v>
      </c>
      <c r="I222" s="6">
        <v>3295</v>
      </c>
      <c r="J222" s="7">
        <f t="shared" si="1"/>
        <v>4822</v>
      </c>
      <c r="K222" s="7">
        <f t="shared" si="2"/>
        <v>964.40000000000009</v>
      </c>
      <c r="L222" s="7">
        <f t="shared" si="3"/>
        <v>1</v>
      </c>
      <c r="M222" s="7">
        <f>IFERROR(VLOOKUP(G222,'Base de faturamento'!A:C,2,FALSE),0)</f>
        <v>8117</v>
      </c>
      <c r="N222" s="8">
        <f>IFERROR(VLOOKUP(G222,'Base de faturamento'!A:C,3,FALSE),0)</f>
        <v>44724</v>
      </c>
      <c r="O222" s="8">
        <f t="shared" si="4"/>
        <v>44743</v>
      </c>
      <c r="P222" s="8">
        <f t="shared" si="5"/>
        <v>44743</v>
      </c>
    </row>
    <row r="223" spans="1:16" ht="15" x14ac:dyDescent="0.25">
      <c r="A223" s="2" t="s">
        <v>249</v>
      </c>
      <c r="B223" s="2" t="s">
        <v>21</v>
      </c>
      <c r="C223" s="3" t="str">
        <f>VLOOKUP(B223,Dados!$A$3:$B$10,2,FALSE)</f>
        <v>Time 1</v>
      </c>
      <c r="D223" s="2" t="s">
        <v>22</v>
      </c>
      <c r="E223" s="2" t="s">
        <v>19</v>
      </c>
      <c r="F223" s="4">
        <v>77192589467</v>
      </c>
      <c r="G223" s="5" t="str">
        <f t="shared" si="0"/>
        <v>77192589467</v>
      </c>
      <c r="H223" s="6">
        <v>2668</v>
      </c>
      <c r="I223" s="6">
        <v>0</v>
      </c>
      <c r="J223" s="7">
        <f t="shared" si="1"/>
        <v>2668</v>
      </c>
      <c r="K223" s="7">
        <f t="shared" si="2"/>
        <v>800.4</v>
      </c>
      <c r="L223" s="7">
        <f t="shared" si="3"/>
        <v>1</v>
      </c>
      <c r="M223" s="7">
        <f>IFERROR(VLOOKUP(G223,'Base de faturamento'!A:C,2,FALSE),0)</f>
        <v>2668</v>
      </c>
      <c r="N223" s="8">
        <f>IFERROR(VLOOKUP(G223,'Base de faturamento'!A:C,3,FALSE),0)</f>
        <v>44631</v>
      </c>
      <c r="O223" s="8">
        <f t="shared" si="4"/>
        <v>44635</v>
      </c>
      <c r="P223" s="8">
        <f t="shared" si="5"/>
        <v>44652</v>
      </c>
    </row>
    <row r="224" spans="1:16" ht="15" x14ac:dyDescent="0.25">
      <c r="A224" s="2" t="s">
        <v>250</v>
      </c>
      <c r="B224" s="2" t="s">
        <v>31</v>
      </c>
      <c r="C224" s="3" t="str">
        <f>VLOOKUP(B224,Dados!$A$3:$B$10,2,FALSE)</f>
        <v>Time 3</v>
      </c>
      <c r="D224" s="2" t="s">
        <v>22</v>
      </c>
      <c r="E224" s="2" t="s">
        <v>25</v>
      </c>
      <c r="F224" s="4">
        <v>77504386209</v>
      </c>
      <c r="G224" s="5" t="str">
        <f t="shared" si="0"/>
        <v>77504386209</v>
      </c>
      <c r="H224" s="6">
        <v>7083</v>
      </c>
      <c r="I224" s="6">
        <v>1725</v>
      </c>
      <c r="J224" s="7">
        <f t="shared" si="1"/>
        <v>5358</v>
      </c>
      <c r="K224" s="7">
        <f t="shared" si="2"/>
        <v>1607.3999999999999</v>
      </c>
      <c r="L224" s="7">
        <f t="shared" si="3"/>
        <v>1</v>
      </c>
      <c r="M224" s="7">
        <f>IFERROR(VLOOKUP(G224,'Base de faturamento'!A:C,2,FALSE),0)</f>
        <v>7083</v>
      </c>
      <c r="N224" s="8">
        <f>IFERROR(VLOOKUP(G224,'Base de faturamento'!A:C,3,FALSE),0)</f>
        <v>44733</v>
      </c>
      <c r="O224" s="8">
        <f t="shared" si="4"/>
        <v>44743</v>
      </c>
      <c r="P224" s="8">
        <f t="shared" si="5"/>
        <v>44743</v>
      </c>
    </row>
    <row r="225" spans="1:16" ht="15" x14ac:dyDescent="0.25">
      <c r="A225" s="2" t="s">
        <v>251</v>
      </c>
      <c r="B225" s="2" t="s">
        <v>24</v>
      </c>
      <c r="C225" s="3" t="str">
        <f>VLOOKUP(B225,Dados!$A$3:$B$10,2,FALSE)</f>
        <v>Time 2</v>
      </c>
      <c r="D225" s="2" t="s">
        <v>18</v>
      </c>
      <c r="E225" s="2" t="s">
        <v>19</v>
      </c>
      <c r="F225" s="4">
        <v>78082982354</v>
      </c>
      <c r="G225" s="5" t="str">
        <f t="shared" si="0"/>
        <v>78082982354</v>
      </c>
      <c r="H225" s="6">
        <v>3309</v>
      </c>
      <c r="I225" s="6">
        <v>0</v>
      </c>
      <c r="J225" s="7">
        <f t="shared" si="1"/>
        <v>3309</v>
      </c>
      <c r="K225" s="7">
        <f t="shared" si="2"/>
        <v>661.80000000000007</v>
      </c>
      <c r="L225" s="7">
        <f t="shared" si="3"/>
        <v>1</v>
      </c>
      <c r="M225" s="7">
        <f>IFERROR(VLOOKUP(G225,'Base de faturamento'!A:C,2,FALSE),0)</f>
        <v>3309</v>
      </c>
      <c r="N225" s="8">
        <f>IFERROR(VLOOKUP(G225,'Base de faturamento'!A:C,3,FALSE),0)</f>
        <v>44739</v>
      </c>
      <c r="O225" s="8">
        <f t="shared" si="4"/>
        <v>44743</v>
      </c>
      <c r="P225" s="8">
        <f t="shared" si="5"/>
        <v>44743</v>
      </c>
    </row>
    <row r="226" spans="1:16" ht="15" x14ac:dyDescent="0.25">
      <c r="A226" s="2" t="s">
        <v>252</v>
      </c>
      <c r="B226" s="2" t="s">
        <v>29</v>
      </c>
      <c r="C226" s="3" t="str">
        <f>VLOOKUP(B226,Dados!$A$3:$B$10,2,FALSE)</f>
        <v>Time 2</v>
      </c>
      <c r="D226" s="2" t="s">
        <v>22</v>
      </c>
      <c r="E226" s="2" t="s">
        <v>25</v>
      </c>
      <c r="F226" s="4">
        <v>78221043892</v>
      </c>
      <c r="G226" s="5" t="str">
        <f t="shared" si="0"/>
        <v>78221043892</v>
      </c>
      <c r="H226" s="6">
        <v>4615</v>
      </c>
      <c r="I226" s="6">
        <v>3341</v>
      </c>
      <c r="J226" s="7">
        <f t="shared" si="1"/>
        <v>1274</v>
      </c>
      <c r="K226" s="7">
        <f t="shared" si="2"/>
        <v>382.2</v>
      </c>
      <c r="L226" s="7">
        <f t="shared" si="3"/>
        <v>1</v>
      </c>
      <c r="M226" s="7">
        <f>IFERROR(VLOOKUP(G226,'Base de faturamento'!A:C,2,FALSE),0)</f>
        <v>4615</v>
      </c>
      <c r="N226" s="8">
        <f>IFERROR(VLOOKUP(G226,'Base de faturamento'!A:C,3,FALSE),0)</f>
        <v>44674</v>
      </c>
      <c r="O226" s="8">
        <f t="shared" si="4"/>
        <v>44682</v>
      </c>
      <c r="P226" s="8">
        <f t="shared" si="5"/>
        <v>44682</v>
      </c>
    </row>
    <row r="227" spans="1:16" ht="15" x14ac:dyDescent="0.25">
      <c r="A227" s="2" t="s">
        <v>253</v>
      </c>
      <c r="B227" s="2" t="s">
        <v>17</v>
      </c>
      <c r="C227" s="3" t="str">
        <f>VLOOKUP(B227,Dados!$A$3:$B$10,2,FALSE)</f>
        <v>Time 3</v>
      </c>
      <c r="D227" s="2" t="s">
        <v>22</v>
      </c>
      <c r="E227" s="2" t="s">
        <v>25</v>
      </c>
      <c r="F227" s="4">
        <v>78275587932</v>
      </c>
      <c r="G227" s="5" t="str">
        <f t="shared" si="0"/>
        <v>78275587932</v>
      </c>
      <c r="H227" s="6">
        <v>7472</v>
      </c>
      <c r="I227" s="6">
        <v>4501</v>
      </c>
      <c r="J227" s="7">
        <f t="shared" si="1"/>
        <v>2971</v>
      </c>
      <c r="K227" s="7">
        <f t="shared" si="2"/>
        <v>891.3</v>
      </c>
      <c r="L227" s="7">
        <f t="shared" si="3"/>
        <v>1</v>
      </c>
      <c r="M227" s="7">
        <f>IFERROR(VLOOKUP(G227,'Base de faturamento'!A:C,2,FALSE),0)</f>
        <v>7472</v>
      </c>
      <c r="N227" s="8">
        <f>IFERROR(VLOOKUP(G227,'Base de faturamento'!A:C,3,FALSE),0)</f>
        <v>44700</v>
      </c>
      <c r="O227" s="8">
        <f t="shared" si="4"/>
        <v>44713</v>
      </c>
      <c r="P227" s="8">
        <f t="shared" si="5"/>
        <v>44713</v>
      </c>
    </row>
    <row r="228" spans="1:16" ht="15" x14ac:dyDescent="0.25">
      <c r="A228" s="2" t="s">
        <v>254</v>
      </c>
      <c r="B228" s="2" t="s">
        <v>21</v>
      </c>
      <c r="C228" s="3" t="str">
        <f>VLOOKUP(B228,Dados!$A$3:$B$10,2,FALSE)</f>
        <v>Time 1</v>
      </c>
      <c r="D228" s="2" t="s">
        <v>22</v>
      </c>
      <c r="E228" s="2" t="s">
        <v>19</v>
      </c>
      <c r="F228" s="4">
        <v>78775444289</v>
      </c>
      <c r="G228" s="5" t="str">
        <f t="shared" si="0"/>
        <v>78775444289</v>
      </c>
      <c r="H228" s="6">
        <v>7642</v>
      </c>
      <c r="I228" s="6">
        <v>0</v>
      </c>
      <c r="J228" s="7">
        <f t="shared" si="1"/>
        <v>7642</v>
      </c>
      <c r="K228" s="7">
        <f t="shared" si="2"/>
        <v>2292.6</v>
      </c>
      <c r="L228" s="7">
        <f t="shared" si="3"/>
        <v>1</v>
      </c>
      <c r="M228" s="7">
        <f>IFERROR(VLOOKUP(G228,'Base de faturamento'!A:C,2,FALSE),0)</f>
        <v>7642</v>
      </c>
      <c r="N228" s="8">
        <f>IFERROR(VLOOKUP(G228,'Base de faturamento'!A:C,3,FALSE),0)</f>
        <v>44703</v>
      </c>
      <c r="O228" s="8">
        <f t="shared" si="4"/>
        <v>44696</v>
      </c>
      <c r="P228" s="8">
        <f t="shared" si="5"/>
        <v>44713</v>
      </c>
    </row>
    <row r="229" spans="1:16" ht="15" x14ac:dyDescent="0.25">
      <c r="A229" s="2" t="s">
        <v>255</v>
      </c>
      <c r="B229" s="2" t="s">
        <v>31</v>
      </c>
      <c r="C229" s="3" t="str">
        <f>VLOOKUP(B229,Dados!$A$3:$B$10,2,FALSE)</f>
        <v>Time 3</v>
      </c>
      <c r="D229" s="2" t="s">
        <v>18</v>
      </c>
      <c r="E229" s="2" t="s">
        <v>25</v>
      </c>
      <c r="F229" s="4">
        <v>79641009184</v>
      </c>
      <c r="G229" s="5" t="str">
        <f t="shared" si="0"/>
        <v>79641009184</v>
      </c>
      <c r="H229" s="6">
        <v>3686</v>
      </c>
      <c r="I229" s="6">
        <v>8125</v>
      </c>
      <c r="J229" s="7">
        <f t="shared" si="1"/>
        <v>0</v>
      </c>
      <c r="K229" s="7">
        <f t="shared" si="2"/>
        <v>0</v>
      </c>
      <c r="L229" s="7">
        <f t="shared" si="3"/>
        <v>1</v>
      </c>
      <c r="M229" s="7">
        <f>IFERROR(VLOOKUP(G229,'Base de faturamento'!A:C,2,FALSE),0)</f>
        <v>3686</v>
      </c>
      <c r="N229" s="8">
        <f>IFERROR(VLOOKUP(G229,'Base de faturamento'!A:C,3,FALSE),0)</f>
        <v>44668</v>
      </c>
      <c r="O229" s="8">
        <f t="shared" si="4"/>
        <v>44682</v>
      </c>
      <c r="P229" s="8">
        <f t="shared" si="5"/>
        <v>44682</v>
      </c>
    </row>
    <row r="230" spans="1:16" ht="15" x14ac:dyDescent="0.25">
      <c r="A230" s="2" t="s">
        <v>256</v>
      </c>
      <c r="B230" s="2" t="s">
        <v>17</v>
      </c>
      <c r="C230" s="3" t="str">
        <f>VLOOKUP(B230,Dados!$A$3:$B$10,2,FALSE)</f>
        <v>Time 3</v>
      </c>
      <c r="D230" s="2" t="s">
        <v>18</v>
      </c>
      <c r="E230" s="2" t="s">
        <v>19</v>
      </c>
      <c r="F230" s="4">
        <v>79801580959</v>
      </c>
      <c r="G230" s="5" t="str">
        <f t="shared" si="0"/>
        <v>79801580959</v>
      </c>
      <c r="H230" s="6">
        <v>3492</v>
      </c>
      <c r="I230" s="6">
        <v>0</v>
      </c>
      <c r="J230" s="7">
        <f t="shared" si="1"/>
        <v>3492</v>
      </c>
      <c r="K230" s="7">
        <f t="shared" si="2"/>
        <v>698.40000000000009</v>
      </c>
      <c r="L230" s="7">
        <f t="shared" si="3"/>
        <v>1</v>
      </c>
      <c r="M230" s="7">
        <f>IFERROR(VLOOKUP(G230,'Base de faturamento'!A:C,2,FALSE),0)</f>
        <v>3492</v>
      </c>
      <c r="N230" s="8">
        <f>IFERROR(VLOOKUP(G230,'Base de faturamento'!A:C,3,FALSE),0)</f>
        <v>44723</v>
      </c>
      <c r="O230" s="8">
        <f t="shared" si="4"/>
        <v>44743</v>
      </c>
      <c r="P230" s="8">
        <f t="shared" si="5"/>
        <v>44743</v>
      </c>
    </row>
    <row r="231" spans="1:16" ht="15" x14ac:dyDescent="0.25">
      <c r="A231" s="2" t="s">
        <v>257</v>
      </c>
      <c r="B231" s="2" t="s">
        <v>29</v>
      </c>
      <c r="C231" s="3" t="str">
        <f>VLOOKUP(B231,Dados!$A$3:$B$10,2,FALSE)</f>
        <v>Time 2</v>
      </c>
      <c r="D231" s="2" t="s">
        <v>22</v>
      </c>
      <c r="E231" s="2" t="s">
        <v>19</v>
      </c>
      <c r="F231" s="4">
        <v>79887504102</v>
      </c>
      <c r="G231" s="5" t="str">
        <f t="shared" si="0"/>
        <v>79887504102</v>
      </c>
      <c r="H231" s="6">
        <v>3692</v>
      </c>
      <c r="I231" s="6">
        <v>0</v>
      </c>
      <c r="J231" s="7">
        <f t="shared" si="1"/>
        <v>3692</v>
      </c>
      <c r="K231" s="7">
        <f t="shared" si="2"/>
        <v>1107.5999999999999</v>
      </c>
      <c r="L231" s="7">
        <f t="shared" si="3"/>
        <v>1</v>
      </c>
      <c r="M231" s="7">
        <f>IFERROR(VLOOKUP(G231,'Base de faturamento'!A:C,2,FALSE),0)</f>
        <v>3692</v>
      </c>
      <c r="N231" s="8">
        <f>IFERROR(VLOOKUP(G231,'Base de faturamento'!A:C,3,FALSE),0)</f>
        <v>44648</v>
      </c>
      <c r="O231" s="8">
        <f t="shared" si="4"/>
        <v>44652</v>
      </c>
      <c r="P231" s="8">
        <f t="shared" si="5"/>
        <v>44652</v>
      </c>
    </row>
    <row r="232" spans="1:16" ht="15" x14ac:dyDescent="0.25">
      <c r="A232" s="2" t="s">
        <v>258</v>
      </c>
      <c r="B232" s="2" t="s">
        <v>27</v>
      </c>
      <c r="C232" s="3" t="str">
        <f>VLOOKUP(B232,Dados!$A$3:$B$10,2,FALSE)</f>
        <v>Time 2</v>
      </c>
      <c r="D232" s="2" t="s">
        <v>22</v>
      </c>
      <c r="E232" s="2" t="s">
        <v>19</v>
      </c>
      <c r="F232" s="4">
        <v>79922187142</v>
      </c>
      <c r="G232" s="5" t="str">
        <f t="shared" si="0"/>
        <v>79922187142</v>
      </c>
      <c r="H232" s="6">
        <v>3522</v>
      </c>
      <c r="I232" s="6">
        <v>0</v>
      </c>
      <c r="J232" s="7">
        <f t="shared" si="1"/>
        <v>3522</v>
      </c>
      <c r="K232" s="7">
        <f t="shared" si="2"/>
        <v>1056.5999999999999</v>
      </c>
      <c r="L232" s="7">
        <f t="shared" si="3"/>
        <v>1</v>
      </c>
      <c r="M232" s="7">
        <f>IFERROR(VLOOKUP(G232,'Base de faturamento'!A:C,2,FALSE),0)</f>
        <v>3522</v>
      </c>
      <c r="N232" s="8">
        <f>IFERROR(VLOOKUP(G232,'Base de faturamento'!A:C,3,FALSE),0)</f>
        <v>44681</v>
      </c>
      <c r="O232" s="8">
        <f t="shared" si="4"/>
        <v>44682</v>
      </c>
      <c r="P232" s="8">
        <f t="shared" si="5"/>
        <v>44682</v>
      </c>
    </row>
    <row r="233" spans="1:16" ht="15" x14ac:dyDescent="0.25">
      <c r="A233" s="2" t="s">
        <v>259</v>
      </c>
      <c r="B233" s="2" t="s">
        <v>31</v>
      </c>
      <c r="C233" s="3" t="str">
        <f>VLOOKUP(B233,Dados!$A$3:$B$10,2,FALSE)</f>
        <v>Time 3</v>
      </c>
      <c r="D233" s="2" t="s">
        <v>22</v>
      </c>
      <c r="E233" s="2" t="s">
        <v>25</v>
      </c>
      <c r="F233" s="4">
        <v>80003320940</v>
      </c>
      <c r="G233" s="5" t="str">
        <f t="shared" si="0"/>
        <v>80003320940</v>
      </c>
      <c r="H233" s="6">
        <v>8172</v>
      </c>
      <c r="I233" s="6">
        <v>6615</v>
      </c>
      <c r="J233" s="7">
        <f t="shared" si="1"/>
        <v>1557</v>
      </c>
      <c r="K233" s="7">
        <f t="shared" si="2"/>
        <v>467.09999999999997</v>
      </c>
      <c r="L233" s="7">
        <f t="shared" si="3"/>
        <v>1</v>
      </c>
      <c r="M233" s="7">
        <f>IFERROR(VLOOKUP(G233,'Base de faturamento'!A:C,2,FALSE),0)</f>
        <v>8172</v>
      </c>
      <c r="N233" s="8">
        <f>IFERROR(VLOOKUP(G233,'Base de faturamento'!A:C,3,FALSE),0)</f>
        <v>44672</v>
      </c>
      <c r="O233" s="8">
        <f t="shared" si="4"/>
        <v>44682</v>
      </c>
      <c r="P233" s="8">
        <f t="shared" si="5"/>
        <v>44682</v>
      </c>
    </row>
    <row r="234" spans="1:16" ht="15" x14ac:dyDescent="0.25">
      <c r="A234" s="2" t="s">
        <v>260</v>
      </c>
      <c r="B234" s="2" t="s">
        <v>31</v>
      </c>
      <c r="C234" s="3" t="str">
        <f>VLOOKUP(B234,Dados!$A$3:$B$10,2,FALSE)</f>
        <v>Time 3</v>
      </c>
      <c r="D234" s="2" t="s">
        <v>18</v>
      </c>
      <c r="E234" s="2" t="s">
        <v>19</v>
      </c>
      <c r="F234" s="4">
        <v>80138432046</v>
      </c>
      <c r="G234" s="5" t="str">
        <f t="shared" si="0"/>
        <v>80138432046</v>
      </c>
      <c r="H234" s="6">
        <v>9785</v>
      </c>
      <c r="I234" s="6">
        <v>0</v>
      </c>
      <c r="J234" s="7">
        <f t="shared" si="1"/>
        <v>9785</v>
      </c>
      <c r="K234" s="7">
        <f t="shared" si="2"/>
        <v>1957</v>
      </c>
      <c r="L234" s="7">
        <f t="shared" si="3"/>
        <v>1</v>
      </c>
      <c r="M234" s="7">
        <f>IFERROR(VLOOKUP(G234,'Base de faturamento'!A:C,2,FALSE),0)</f>
        <v>9785</v>
      </c>
      <c r="N234" s="8">
        <f>IFERROR(VLOOKUP(G234,'Base de faturamento'!A:C,3,FALSE),0)</f>
        <v>44662</v>
      </c>
      <c r="O234" s="8">
        <f t="shared" si="4"/>
        <v>44682</v>
      </c>
      <c r="P234" s="8">
        <f t="shared" si="5"/>
        <v>44682</v>
      </c>
    </row>
    <row r="235" spans="1:16" ht="15" x14ac:dyDescent="0.25">
      <c r="A235" s="2" t="s">
        <v>261</v>
      </c>
      <c r="B235" s="2" t="s">
        <v>24</v>
      </c>
      <c r="C235" s="3" t="str">
        <f>VLOOKUP(B235,Dados!$A$3:$B$10,2,FALSE)</f>
        <v>Time 2</v>
      </c>
      <c r="D235" s="2" t="s">
        <v>22</v>
      </c>
      <c r="E235" s="2" t="s">
        <v>25</v>
      </c>
      <c r="F235" s="4">
        <v>80449418694</v>
      </c>
      <c r="G235" s="5" t="str">
        <f t="shared" si="0"/>
        <v>80449418694</v>
      </c>
      <c r="H235" s="6">
        <v>7009</v>
      </c>
      <c r="I235" s="6">
        <v>9444</v>
      </c>
      <c r="J235" s="7">
        <f t="shared" si="1"/>
        <v>0</v>
      </c>
      <c r="K235" s="7">
        <f t="shared" si="2"/>
        <v>0</v>
      </c>
      <c r="L235" s="7">
        <f t="shared" si="3"/>
        <v>0</v>
      </c>
      <c r="M235" s="7">
        <f>IFERROR(VLOOKUP(G235,'Base de faturamento'!A:C,2,FALSE),0)</f>
        <v>0</v>
      </c>
      <c r="N235" s="8">
        <f>IFERROR(VLOOKUP(G235,'Base de faturamento'!A:C,3,FALSE),0)</f>
        <v>0</v>
      </c>
      <c r="O235" s="8">
        <f t="shared" si="4"/>
        <v>32</v>
      </c>
      <c r="P235" s="9" t="b">
        <f t="shared" si="5"/>
        <v>0</v>
      </c>
    </row>
    <row r="236" spans="1:16" ht="15" x14ac:dyDescent="0.25">
      <c r="A236" s="2" t="s">
        <v>262</v>
      </c>
      <c r="B236" s="2" t="s">
        <v>21</v>
      </c>
      <c r="C236" s="3" t="str">
        <f>VLOOKUP(B236,Dados!$A$3:$B$10,2,FALSE)</f>
        <v>Time 1</v>
      </c>
      <c r="D236" s="2" t="s">
        <v>22</v>
      </c>
      <c r="E236" s="2" t="s">
        <v>25</v>
      </c>
      <c r="F236" s="4">
        <v>80792760458</v>
      </c>
      <c r="G236" s="5" t="str">
        <f t="shared" si="0"/>
        <v>80792760458</v>
      </c>
      <c r="H236" s="6">
        <v>5189</v>
      </c>
      <c r="I236" s="6">
        <v>6308</v>
      </c>
      <c r="J236" s="7">
        <f t="shared" si="1"/>
        <v>0</v>
      </c>
      <c r="K236" s="7">
        <f t="shared" si="2"/>
        <v>0</v>
      </c>
      <c r="L236" s="7">
        <f t="shared" si="3"/>
        <v>1</v>
      </c>
      <c r="M236" s="7">
        <f>IFERROR(VLOOKUP(G236,'Base de faturamento'!A:C,2,FALSE),0)</f>
        <v>5189</v>
      </c>
      <c r="N236" s="8">
        <f>IFERROR(VLOOKUP(G236,'Base de faturamento'!A:C,3,FALSE),0)</f>
        <v>44635</v>
      </c>
      <c r="O236" s="8">
        <f t="shared" si="4"/>
        <v>44635</v>
      </c>
      <c r="P236" s="8">
        <f t="shared" si="5"/>
        <v>44652</v>
      </c>
    </row>
    <row r="237" spans="1:16" ht="15" x14ac:dyDescent="0.25">
      <c r="A237" s="2" t="s">
        <v>263</v>
      </c>
      <c r="B237" s="2" t="s">
        <v>17</v>
      </c>
      <c r="C237" s="3" t="str">
        <f>VLOOKUP(B237,Dados!$A$3:$B$10,2,FALSE)</f>
        <v>Time 3</v>
      </c>
      <c r="D237" s="2" t="s">
        <v>18</v>
      </c>
      <c r="E237" s="2" t="s">
        <v>19</v>
      </c>
      <c r="F237" s="4">
        <v>81972584211</v>
      </c>
      <c r="G237" s="5" t="str">
        <f t="shared" si="0"/>
        <v>81972584211</v>
      </c>
      <c r="H237" s="6">
        <v>6764</v>
      </c>
      <c r="I237" s="6">
        <v>0</v>
      </c>
      <c r="J237" s="7">
        <f t="shared" si="1"/>
        <v>6764</v>
      </c>
      <c r="K237" s="7">
        <f t="shared" si="2"/>
        <v>1352.8000000000002</v>
      </c>
      <c r="L237" s="7">
        <f t="shared" si="3"/>
        <v>1</v>
      </c>
      <c r="M237" s="7">
        <f>IFERROR(VLOOKUP(G237,'Base de faturamento'!A:C,2,FALSE),0)</f>
        <v>6764</v>
      </c>
      <c r="N237" s="8">
        <f>IFERROR(VLOOKUP(G237,'Base de faturamento'!A:C,3,FALSE),0)</f>
        <v>44698</v>
      </c>
      <c r="O237" s="8">
        <f t="shared" si="4"/>
        <v>44713</v>
      </c>
      <c r="P237" s="8">
        <f t="shared" si="5"/>
        <v>44713</v>
      </c>
    </row>
    <row r="238" spans="1:16" ht="15" x14ac:dyDescent="0.25">
      <c r="A238" s="2" t="s">
        <v>264</v>
      </c>
      <c r="B238" s="2" t="s">
        <v>24</v>
      </c>
      <c r="C238" s="3" t="str">
        <f>VLOOKUP(B238,Dados!$A$3:$B$10,2,FALSE)</f>
        <v>Time 2</v>
      </c>
      <c r="D238" s="2" t="s">
        <v>18</v>
      </c>
      <c r="E238" s="2" t="s">
        <v>25</v>
      </c>
      <c r="F238" s="4">
        <v>82188162592</v>
      </c>
      <c r="G238" s="5" t="str">
        <f t="shared" si="0"/>
        <v>82188162592</v>
      </c>
      <c r="H238" s="6">
        <v>4745</v>
      </c>
      <c r="I238" s="6">
        <v>4321</v>
      </c>
      <c r="J238" s="7">
        <f t="shared" si="1"/>
        <v>424</v>
      </c>
      <c r="K238" s="7">
        <f t="shared" si="2"/>
        <v>84.800000000000011</v>
      </c>
      <c r="L238" s="7">
        <f t="shared" si="3"/>
        <v>1</v>
      </c>
      <c r="M238" s="7">
        <f>IFERROR(VLOOKUP(G238,'Base de faturamento'!A:C,2,FALSE),0)</f>
        <v>4745</v>
      </c>
      <c r="N238" s="8">
        <f>IFERROR(VLOOKUP(G238,'Base de faturamento'!A:C,3,FALSE),0)</f>
        <v>44677</v>
      </c>
      <c r="O238" s="8">
        <f t="shared" si="4"/>
        <v>44682</v>
      </c>
      <c r="P238" s="8">
        <f t="shared" si="5"/>
        <v>44682</v>
      </c>
    </row>
    <row r="239" spans="1:16" ht="15" x14ac:dyDescent="0.25">
      <c r="A239" s="2" t="s">
        <v>265</v>
      </c>
      <c r="B239" s="2" t="s">
        <v>33</v>
      </c>
      <c r="C239" s="3" t="str">
        <f>VLOOKUP(B239,Dados!$A$3:$B$10,2,FALSE)</f>
        <v>Time 1</v>
      </c>
      <c r="D239" s="2" t="s">
        <v>18</v>
      </c>
      <c r="E239" s="2" t="s">
        <v>19</v>
      </c>
      <c r="F239" s="4">
        <v>82597834298</v>
      </c>
      <c r="G239" s="5" t="str">
        <f t="shared" si="0"/>
        <v>82597834298</v>
      </c>
      <c r="H239" s="6">
        <v>2055</v>
      </c>
      <c r="I239" s="6">
        <v>0</v>
      </c>
      <c r="J239" s="7">
        <f t="shared" si="1"/>
        <v>2055</v>
      </c>
      <c r="K239" s="7">
        <f t="shared" si="2"/>
        <v>411</v>
      </c>
      <c r="L239" s="7">
        <f t="shared" si="3"/>
        <v>1</v>
      </c>
      <c r="M239" s="7">
        <f>IFERROR(VLOOKUP(G239,'Base de faturamento'!A:C,2,FALSE),0)</f>
        <v>2055</v>
      </c>
      <c r="N239" s="8">
        <f>IFERROR(VLOOKUP(G239,'Base de faturamento'!A:C,3,FALSE),0)</f>
        <v>44645</v>
      </c>
      <c r="O239" s="8">
        <f t="shared" si="4"/>
        <v>44635</v>
      </c>
      <c r="P239" s="8">
        <f t="shared" si="5"/>
        <v>44652</v>
      </c>
    </row>
    <row r="240" spans="1:16" ht="15" x14ac:dyDescent="0.25">
      <c r="A240" s="2" t="s">
        <v>266</v>
      </c>
      <c r="B240" s="2" t="s">
        <v>36</v>
      </c>
      <c r="C240" s="3" t="str">
        <f>VLOOKUP(B240,Dados!$A$3:$B$10,2,FALSE)</f>
        <v>Time 1</v>
      </c>
      <c r="D240" s="2" t="s">
        <v>18</v>
      </c>
      <c r="E240" s="2" t="s">
        <v>19</v>
      </c>
      <c r="F240" s="4">
        <v>82718945895</v>
      </c>
      <c r="G240" s="5" t="str">
        <f t="shared" si="0"/>
        <v>82718945895</v>
      </c>
      <c r="H240" s="6">
        <v>9739</v>
      </c>
      <c r="I240" s="6">
        <v>0</v>
      </c>
      <c r="J240" s="7">
        <f t="shared" si="1"/>
        <v>9739</v>
      </c>
      <c r="K240" s="7">
        <f t="shared" si="2"/>
        <v>1947.8000000000002</v>
      </c>
      <c r="L240" s="7">
        <f t="shared" si="3"/>
        <v>1</v>
      </c>
      <c r="M240" s="7">
        <f>IFERROR(VLOOKUP(G240,'Base de faturamento'!A:C,2,FALSE),0)</f>
        <v>9739</v>
      </c>
      <c r="N240" s="8">
        <f>IFERROR(VLOOKUP(G240,'Base de faturamento'!A:C,3,FALSE),0)</f>
        <v>44628</v>
      </c>
      <c r="O240" s="8">
        <f t="shared" si="4"/>
        <v>44635</v>
      </c>
      <c r="P240" s="8">
        <f t="shared" si="5"/>
        <v>44652</v>
      </c>
    </row>
    <row r="241" spans="1:16" ht="15" x14ac:dyDescent="0.25">
      <c r="A241" s="2" t="s">
        <v>267</v>
      </c>
      <c r="B241" s="2" t="s">
        <v>31</v>
      </c>
      <c r="C241" s="3" t="str">
        <f>VLOOKUP(B241,Dados!$A$3:$B$10,2,FALSE)</f>
        <v>Time 3</v>
      </c>
      <c r="D241" s="2" t="s">
        <v>22</v>
      </c>
      <c r="E241" s="2" t="s">
        <v>19</v>
      </c>
      <c r="F241" s="4">
        <v>83433289595</v>
      </c>
      <c r="G241" s="5" t="str">
        <f t="shared" si="0"/>
        <v>83433289595</v>
      </c>
      <c r="H241" s="6">
        <v>9784</v>
      </c>
      <c r="I241" s="6">
        <v>0</v>
      </c>
      <c r="J241" s="7">
        <f t="shared" si="1"/>
        <v>9784</v>
      </c>
      <c r="K241" s="7">
        <f t="shared" si="2"/>
        <v>2935.2</v>
      </c>
      <c r="L241" s="7">
        <f t="shared" si="3"/>
        <v>1</v>
      </c>
      <c r="M241" s="7">
        <f>IFERROR(VLOOKUP(G241,'Base de faturamento'!A:C,2,FALSE),0)</f>
        <v>9784</v>
      </c>
      <c r="N241" s="8">
        <f>IFERROR(VLOOKUP(G241,'Base de faturamento'!A:C,3,FALSE),0)</f>
        <v>44686</v>
      </c>
      <c r="O241" s="8">
        <f t="shared" si="4"/>
        <v>44713</v>
      </c>
      <c r="P241" s="8">
        <f t="shared" si="5"/>
        <v>44713</v>
      </c>
    </row>
    <row r="242" spans="1:16" ht="15" x14ac:dyDescent="0.25">
      <c r="A242" s="2" t="s">
        <v>268</v>
      </c>
      <c r="B242" s="2" t="s">
        <v>29</v>
      </c>
      <c r="C242" s="3" t="str">
        <f>VLOOKUP(B242,Dados!$A$3:$B$10,2,FALSE)</f>
        <v>Time 2</v>
      </c>
      <c r="D242" s="2" t="s">
        <v>22</v>
      </c>
      <c r="E242" s="2" t="s">
        <v>19</v>
      </c>
      <c r="F242" s="4">
        <v>83578565396</v>
      </c>
      <c r="G242" s="5" t="str">
        <f t="shared" si="0"/>
        <v>83578565396</v>
      </c>
      <c r="H242" s="6">
        <v>8753</v>
      </c>
      <c r="I242" s="6">
        <v>0</v>
      </c>
      <c r="J242" s="7">
        <f t="shared" si="1"/>
        <v>8753</v>
      </c>
      <c r="K242" s="7">
        <f t="shared" si="2"/>
        <v>2625.9</v>
      </c>
      <c r="L242" s="7">
        <f t="shared" si="3"/>
        <v>1</v>
      </c>
      <c r="M242" s="7">
        <f>IFERROR(VLOOKUP(G242,'Base de faturamento'!A:C,2,FALSE),0)</f>
        <v>8753</v>
      </c>
      <c r="N242" s="8">
        <f>IFERROR(VLOOKUP(G242,'Base de faturamento'!A:C,3,FALSE),0)</f>
        <v>44726</v>
      </c>
      <c r="O242" s="8">
        <f t="shared" si="4"/>
        <v>44743</v>
      </c>
      <c r="P242" s="8">
        <f t="shared" si="5"/>
        <v>44743</v>
      </c>
    </row>
    <row r="243" spans="1:16" ht="15" x14ac:dyDescent="0.25">
      <c r="A243" s="2" t="s">
        <v>269</v>
      </c>
      <c r="B243" s="2" t="s">
        <v>21</v>
      </c>
      <c r="C243" s="3" t="str">
        <f>VLOOKUP(B243,Dados!$A$3:$B$10,2,FALSE)</f>
        <v>Time 1</v>
      </c>
      <c r="D243" s="2" t="s">
        <v>22</v>
      </c>
      <c r="E243" s="2" t="s">
        <v>25</v>
      </c>
      <c r="F243" s="4">
        <v>84319694697</v>
      </c>
      <c r="G243" s="5" t="str">
        <f t="shared" si="0"/>
        <v>84319694697</v>
      </c>
      <c r="H243" s="6">
        <v>6807</v>
      </c>
      <c r="I243" s="6">
        <v>8035</v>
      </c>
      <c r="J243" s="7">
        <f t="shared" si="1"/>
        <v>0</v>
      </c>
      <c r="K243" s="7">
        <f t="shared" si="2"/>
        <v>0</v>
      </c>
      <c r="L243" s="7">
        <f t="shared" si="3"/>
        <v>1</v>
      </c>
      <c r="M243" s="7">
        <f>IFERROR(VLOOKUP(G243,'Base de faturamento'!A:C,2,FALSE),0)</f>
        <v>6807</v>
      </c>
      <c r="N243" s="8">
        <f>IFERROR(VLOOKUP(G243,'Base de faturamento'!A:C,3,FALSE),0)</f>
        <v>44679</v>
      </c>
      <c r="O243" s="8">
        <f t="shared" si="4"/>
        <v>44666</v>
      </c>
      <c r="P243" s="8">
        <f t="shared" si="5"/>
        <v>44682</v>
      </c>
    </row>
    <row r="244" spans="1:16" ht="15" x14ac:dyDescent="0.25">
      <c r="A244" s="2" t="s">
        <v>270</v>
      </c>
      <c r="B244" s="2" t="s">
        <v>36</v>
      </c>
      <c r="C244" s="3" t="str">
        <f>VLOOKUP(B244,Dados!$A$3:$B$10,2,FALSE)</f>
        <v>Time 1</v>
      </c>
      <c r="D244" s="2" t="s">
        <v>18</v>
      </c>
      <c r="E244" s="2" t="s">
        <v>25</v>
      </c>
      <c r="F244" s="4">
        <v>84322523309</v>
      </c>
      <c r="G244" s="5" t="str">
        <f t="shared" si="0"/>
        <v>84322523309</v>
      </c>
      <c r="H244" s="6">
        <v>8605</v>
      </c>
      <c r="I244" s="6">
        <v>7141</v>
      </c>
      <c r="J244" s="7">
        <f t="shared" si="1"/>
        <v>1464</v>
      </c>
      <c r="K244" s="7">
        <f t="shared" si="2"/>
        <v>292.8</v>
      </c>
      <c r="L244" s="7">
        <f t="shared" si="3"/>
        <v>1</v>
      </c>
      <c r="M244" s="7">
        <f>IFERROR(VLOOKUP(G244,'Base de faturamento'!A:C,2,FALSE),0)</f>
        <v>8605</v>
      </c>
      <c r="N244" s="8">
        <f>IFERROR(VLOOKUP(G244,'Base de faturamento'!A:C,3,FALSE),0)</f>
        <v>44742</v>
      </c>
      <c r="O244" s="8">
        <f t="shared" si="4"/>
        <v>44727</v>
      </c>
      <c r="P244" s="8">
        <f t="shared" si="5"/>
        <v>44743</v>
      </c>
    </row>
    <row r="245" spans="1:16" ht="15" x14ac:dyDescent="0.25">
      <c r="A245" s="2" t="s">
        <v>271</v>
      </c>
      <c r="B245" s="2" t="s">
        <v>31</v>
      </c>
      <c r="C245" s="3" t="str">
        <f>VLOOKUP(B245,Dados!$A$3:$B$10,2,FALSE)</f>
        <v>Time 3</v>
      </c>
      <c r="D245" s="2" t="s">
        <v>22</v>
      </c>
      <c r="E245" s="2" t="s">
        <v>19</v>
      </c>
      <c r="F245" s="4">
        <v>84349534756</v>
      </c>
      <c r="G245" s="5" t="str">
        <f t="shared" si="0"/>
        <v>84349534756</v>
      </c>
      <c r="H245" s="6">
        <v>3212</v>
      </c>
      <c r="I245" s="6">
        <v>0</v>
      </c>
      <c r="J245" s="7">
        <f t="shared" si="1"/>
        <v>3212</v>
      </c>
      <c r="K245" s="7">
        <f t="shared" si="2"/>
        <v>963.59999999999991</v>
      </c>
      <c r="L245" s="7">
        <f t="shared" si="3"/>
        <v>1</v>
      </c>
      <c r="M245" s="7">
        <f>IFERROR(VLOOKUP(G245,'Base de faturamento'!A:C,2,FALSE),0)</f>
        <v>3212</v>
      </c>
      <c r="N245" s="8">
        <f>IFERROR(VLOOKUP(G245,'Base de faturamento'!A:C,3,FALSE),0)</f>
        <v>44697</v>
      </c>
      <c r="O245" s="8">
        <f t="shared" si="4"/>
        <v>44713</v>
      </c>
      <c r="P245" s="8">
        <f t="shared" si="5"/>
        <v>44713</v>
      </c>
    </row>
    <row r="246" spans="1:16" ht="15" x14ac:dyDescent="0.25">
      <c r="A246" s="2" t="s">
        <v>272</v>
      </c>
      <c r="B246" s="2" t="s">
        <v>27</v>
      </c>
      <c r="C246" s="3" t="str">
        <f>VLOOKUP(B246,Dados!$A$3:$B$10,2,FALSE)</f>
        <v>Time 2</v>
      </c>
      <c r="D246" s="2" t="s">
        <v>18</v>
      </c>
      <c r="E246" s="2" t="s">
        <v>19</v>
      </c>
      <c r="F246" s="4">
        <v>85680328509</v>
      </c>
      <c r="G246" s="5" t="str">
        <f t="shared" si="0"/>
        <v>85680328509</v>
      </c>
      <c r="H246" s="6">
        <v>6585</v>
      </c>
      <c r="I246" s="6">
        <v>0</v>
      </c>
      <c r="J246" s="7">
        <f t="shared" si="1"/>
        <v>6585</v>
      </c>
      <c r="K246" s="7">
        <f t="shared" si="2"/>
        <v>1317</v>
      </c>
      <c r="L246" s="7">
        <f t="shared" si="3"/>
        <v>1</v>
      </c>
      <c r="M246" s="7">
        <f>IFERROR(VLOOKUP(G246,'Base de faturamento'!A:C,2,FALSE),0)</f>
        <v>6585</v>
      </c>
      <c r="N246" s="8">
        <f>IFERROR(VLOOKUP(G246,'Base de faturamento'!A:C,3,FALSE),0)</f>
        <v>44704</v>
      </c>
      <c r="O246" s="8">
        <f t="shared" si="4"/>
        <v>44713</v>
      </c>
      <c r="P246" s="8">
        <f t="shared" si="5"/>
        <v>44713</v>
      </c>
    </row>
    <row r="247" spans="1:16" ht="15" x14ac:dyDescent="0.25">
      <c r="A247" s="2" t="s">
        <v>273</v>
      </c>
      <c r="B247" s="2" t="s">
        <v>31</v>
      </c>
      <c r="C247" s="3" t="str">
        <f>VLOOKUP(B247,Dados!$A$3:$B$10,2,FALSE)</f>
        <v>Time 3</v>
      </c>
      <c r="D247" s="2" t="s">
        <v>22</v>
      </c>
      <c r="E247" s="2" t="s">
        <v>19</v>
      </c>
      <c r="F247" s="4">
        <v>85759860825</v>
      </c>
      <c r="G247" s="5" t="str">
        <f t="shared" si="0"/>
        <v>85759860825</v>
      </c>
      <c r="H247" s="6">
        <v>4703</v>
      </c>
      <c r="I247" s="6">
        <v>0</v>
      </c>
      <c r="J247" s="7">
        <f t="shared" si="1"/>
        <v>4703</v>
      </c>
      <c r="K247" s="7">
        <f t="shared" si="2"/>
        <v>1410.8999999999999</v>
      </c>
      <c r="L247" s="7">
        <f t="shared" si="3"/>
        <v>1</v>
      </c>
      <c r="M247" s="7">
        <f>IFERROR(VLOOKUP(G247,'Base de faturamento'!A:C,2,FALSE),0)</f>
        <v>4703</v>
      </c>
      <c r="N247" s="8">
        <f>IFERROR(VLOOKUP(G247,'Base de faturamento'!A:C,3,FALSE),0)</f>
        <v>44665</v>
      </c>
      <c r="O247" s="8">
        <f t="shared" si="4"/>
        <v>44682</v>
      </c>
      <c r="P247" s="8">
        <f t="shared" si="5"/>
        <v>44682</v>
      </c>
    </row>
    <row r="248" spans="1:16" ht="15" x14ac:dyDescent="0.25">
      <c r="A248" s="2" t="s">
        <v>274</v>
      </c>
      <c r="B248" s="2" t="s">
        <v>24</v>
      </c>
      <c r="C248" s="3" t="str">
        <f>VLOOKUP(B248,Dados!$A$3:$B$10,2,FALSE)</f>
        <v>Time 2</v>
      </c>
      <c r="D248" s="2" t="s">
        <v>22</v>
      </c>
      <c r="E248" s="2" t="s">
        <v>19</v>
      </c>
      <c r="F248" s="4">
        <v>86024052075</v>
      </c>
      <c r="G248" s="5" t="str">
        <f t="shared" si="0"/>
        <v>86024052075</v>
      </c>
      <c r="H248" s="6">
        <v>5484</v>
      </c>
      <c r="I248" s="6">
        <v>0</v>
      </c>
      <c r="J248" s="7">
        <f t="shared" si="1"/>
        <v>5484</v>
      </c>
      <c r="K248" s="7">
        <f t="shared" si="2"/>
        <v>1645.2</v>
      </c>
      <c r="L248" s="7">
        <f t="shared" si="3"/>
        <v>1</v>
      </c>
      <c r="M248" s="7">
        <f>IFERROR(VLOOKUP(G248,'Base de faturamento'!A:C,2,FALSE),0)</f>
        <v>5484</v>
      </c>
      <c r="N248" s="8">
        <f>IFERROR(VLOOKUP(G248,'Base de faturamento'!A:C,3,FALSE),0)</f>
        <v>44675</v>
      </c>
      <c r="O248" s="8">
        <f t="shared" si="4"/>
        <v>44682</v>
      </c>
      <c r="P248" s="8">
        <f t="shared" si="5"/>
        <v>44682</v>
      </c>
    </row>
    <row r="249" spans="1:16" ht="15" x14ac:dyDescent="0.25">
      <c r="A249" s="2" t="s">
        <v>275</v>
      </c>
      <c r="B249" s="2" t="s">
        <v>29</v>
      </c>
      <c r="C249" s="3" t="str">
        <f>VLOOKUP(B249,Dados!$A$3:$B$10,2,FALSE)</f>
        <v>Time 2</v>
      </c>
      <c r="D249" s="2" t="s">
        <v>22</v>
      </c>
      <c r="E249" s="2" t="s">
        <v>19</v>
      </c>
      <c r="F249" s="4">
        <v>86075504999</v>
      </c>
      <c r="G249" s="5" t="str">
        <f t="shared" si="0"/>
        <v>86075504999</v>
      </c>
      <c r="H249" s="6">
        <v>1710</v>
      </c>
      <c r="I249" s="6">
        <v>0</v>
      </c>
      <c r="J249" s="7">
        <f t="shared" si="1"/>
        <v>1710</v>
      </c>
      <c r="K249" s="7">
        <f t="shared" si="2"/>
        <v>513</v>
      </c>
      <c r="L249" s="7">
        <f t="shared" si="3"/>
        <v>1</v>
      </c>
      <c r="M249" s="7">
        <f>IFERROR(VLOOKUP(G249,'Base de faturamento'!A:C,2,FALSE),0)</f>
        <v>1710</v>
      </c>
      <c r="N249" s="8">
        <f>IFERROR(VLOOKUP(G249,'Base de faturamento'!A:C,3,FALSE),0)</f>
        <v>44641</v>
      </c>
      <c r="O249" s="8">
        <f t="shared" si="4"/>
        <v>44652</v>
      </c>
      <c r="P249" s="8">
        <f t="shared" si="5"/>
        <v>44652</v>
      </c>
    </row>
    <row r="250" spans="1:16" ht="15" x14ac:dyDescent="0.25">
      <c r="A250" s="2" t="s">
        <v>276</v>
      </c>
      <c r="B250" s="2" t="s">
        <v>31</v>
      </c>
      <c r="C250" s="3" t="str">
        <f>VLOOKUP(B250,Dados!$A$3:$B$10,2,FALSE)</f>
        <v>Time 3</v>
      </c>
      <c r="D250" s="2" t="s">
        <v>18</v>
      </c>
      <c r="E250" s="2" t="s">
        <v>25</v>
      </c>
      <c r="F250" s="4">
        <v>86088885942</v>
      </c>
      <c r="G250" s="5" t="str">
        <f t="shared" si="0"/>
        <v>86088885942</v>
      </c>
      <c r="H250" s="6">
        <v>3846</v>
      </c>
      <c r="I250" s="6">
        <v>4447</v>
      </c>
      <c r="J250" s="7">
        <f t="shared" si="1"/>
        <v>0</v>
      </c>
      <c r="K250" s="7">
        <f t="shared" si="2"/>
        <v>0</v>
      </c>
      <c r="L250" s="7">
        <f t="shared" si="3"/>
        <v>1</v>
      </c>
      <c r="M250" s="7">
        <f>IFERROR(VLOOKUP(G250,'Base de faturamento'!A:C,2,FALSE),0)</f>
        <v>3846</v>
      </c>
      <c r="N250" s="8">
        <f>IFERROR(VLOOKUP(G250,'Base de faturamento'!A:C,3,FALSE),0)</f>
        <v>44687</v>
      </c>
      <c r="O250" s="8">
        <f t="shared" si="4"/>
        <v>44713</v>
      </c>
      <c r="P250" s="8">
        <f t="shared" si="5"/>
        <v>44713</v>
      </c>
    </row>
    <row r="251" spans="1:16" ht="15" x14ac:dyDescent="0.25">
      <c r="A251" s="2" t="s">
        <v>277</v>
      </c>
      <c r="B251" s="2" t="s">
        <v>31</v>
      </c>
      <c r="C251" s="3" t="str">
        <f>VLOOKUP(B251,Dados!$A$3:$B$10,2,FALSE)</f>
        <v>Time 3</v>
      </c>
      <c r="D251" s="2" t="s">
        <v>18</v>
      </c>
      <c r="E251" s="2" t="s">
        <v>25</v>
      </c>
      <c r="F251" s="4">
        <v>86381483585</v>
      </c>
      <c r="G251" s="5" t="str">
        <f t="shared" si="0"/>
        <v>86381483585</v>
      </c>
      <c r="H251" s="6">
        <v>3013</v>
      </c>
      <c r="I251" s="6">
        <v>9402</v>
      </c>
      <c r="J251" s="7">
        <f t="shared" si="1"/>
        <v>0</v>
      </c>
      <c r="K251" s="7">
        <f t="shared" si="2"/>
        <v>0</v>
      </c>
      <c r="L251" s="7">
        <f t="shared" si="3"/>
        <v>1</v>
      </c>
      <c r="M251" s="7">
        <f>IFERROR(VLOOKUP(G251,'Base de faturamento'!A:C,2,FALSE),0)</f>
        <v>3013</v>
      </c>
      <c r="N251" s="8">
        <f>IFERROR(VLOOKUP(G251,'Base de faturamento'!A:C,3,FALSE),0)</f>
        <v>44675</v>
      </c>
      <c r="O251" s="8">
        <f t="shared" si="4"/>
        <v>44682</v>
      </c>
      <c r="P251" s="8">
        <f t="shared" si="5"/>
        <v>44682</v>
      </c>
    </row>
    <row r="252" spans="1:16" ht="15" x14ac:dyDescent="0.25">
      <c r="A252" s="2" t="s">
        <v>278</v>
      </c>
      <c r="B252" s="2" t="s">
        <v>31</v>
      </c>
      <c r="C252" s="3" t="str">
        <f>VLOOKUP(B252,Dados!$A$3:$B$10,2,FALSE)</f>
        <v>Time 3</v>
      </c>
      <c r="D252" s="2" t="s">
        <v>18</v>
      </c>
      <c r="E252" s="2" t="s">
        <v>25</v>
      </c>
      <c r="F252" s="4">
        <v>86570872260</v>
      </c>
      <c r="G252" s="5" t="str">
        <f t="shared" si="0"/>
        <v>86570872260</v>
      </c>
      <c r="H252" s="6">
        <v>9709</v>
      </c>
      <c r="I252" s="6">
        <v>3377</v>
      </c>
      <c r="J252" s="7">
        <f t="shared" si="1"/>
        <v>6332</v>
      </c>
      <c r="K252" s="7">
        <f t="shared" si="2"/>
        <v>1266.4000000000001</v>
      </c>
      <c r="L252" s="7">
        <f t="shared" si="3"/>
        <v>1</v>
      </c>
      <c r="M252" s="7">
        <f>IFERROR(VLOOKUP(G252,'Base de faturamento'!A:C,2,FALSE),0)</f>
        <v>9709</v>
      </c>
      <c r="N252" s="8">
        <f>IFERROR(VLOOKUP(G252,'Base de faturamento'!A:C,3,FALSE),0)</f>
        <v>44740</v>
      </c>
      <c r="O252" s="8">
        <f t="shared" si="4"/>
        <v>44743</v>
      </c>
      <c r="P252" s="8">
        <f t="shared" si="5"/>
        <v>44743</v>
      </c>
    </row>
    <row r="253" spans="1:16" ht="15" x14ac:dyDescent="0.25">
      <c r="A253" s="2" t="s">
        <v>279</v>
      </c>
      <c r="B253" s="2" t="s">
        <v>17</v>
      </c>
      <c r="C253" s="3" t="str">
        <f>VLOOKUP(B253,Dados!$A$3:$B$10,2,FALSE)</f>
        <v>Time 3</v>
      </c>
      <c r="D253" s="2" t="s">
        <v>22</v>
      </c>
      <c r="E253" s="2" t="s">
        <v>19</v>
      </c>
      <c r="F253" s="4">
        <v>86779003549</v>
      </c>
      <c r="G253" s="5" t="str">
        <f t="shared" si="0"/>
        <v>86779003549</v>
      </c>
      <c r="H253" s="6">
        <v>6616</v>
      </c>
      <c r="I253" s="6">
        <v>0</v>
      </c>
      <c r="J253" s="7">
        <f t="shared" si="1"/>
        <v>6616</v>
      </c>
      <c r="K253" s="7">
        <f t="shared" si="2"/>
        <v>1984.8</v>
      </c>
      <c r="L253" s="7">
        <f t="shared" si="3"/>
        <v>1</v>
      </c>
      <c r="M253" s="7">
        <f>IFERROR(VLOOKUP(G253,'Base de faturamento'!A:C,2,FALSE),0)</f>
        <v>6616</v>
      </c>
      <c r="N253" s="8">
        <f>IFERROR(VLOOKUP(G253,'Base de faturamento'!A:C,3,FALSE),0)</f>
        <v>44633</v>
      </c>
      <c r="O253" s="8">
        <f t="shared" si="4"/>
        <v>44652</v>
      </c>
      <c r="P253" s="8">
        <f t="shared" si="5"/>
        <v>44652</v>
      </c>
    </row>
    <row r="254" spans="1:16" ht="15" x14ac:dyDescent="0.25">
      <c r="A254" s="2" t="s">
        <v>280</v>
      </c>
      <c r="B254" s="2" t="s">
        <v>24</v>
      </c>
      <c r="C254" s="3" t="str">
        <f>VLOOKUP(B254,Dados!$A$3:$B$10,2,FALSE)</f>
        <v>Time 2</v>
      </c>
      <c r="D254" s="2" t="s">
        <v>18</v>
      </c>
      <c r="E254" s="2" t="s">
        <v>19</v>
      </c>
      <c r="F254" s="4">
        <v>87510836864</v>
      </c>
      <c r="G254" s="5" t="str">
        <f t="shared" si="0"/>
        <v>87510836864</v>
      </c>
      <c r="H254" s="6">
        <v>7787</v>
      </c>
      <c r="I254" s="6">
        <v>0</v>
      </c>
      <c r="J254" s="7">
        <f t="shared" si="1"/>
        <v>7787</v>
      </c>
      <c r="K254" s="7">
        <f t="shared" si="2"/>
        <v>1557.4</v>
      </c>
      <c r="L254" s="7">
        <f t="shared" si="3"/>
        <v>1</v>
      </c>
      <c r="M254" s="7">
        <f>IFERROR(VLOOKUP(G254,'Base de faturamento'!A:C,2,FALSE),0)</f>
        <v>7787</v>
      </c>
      <c r="N254" s="8">
        <f>IFERROR(VLOOKUP(G254,'Base de faturamento'!A:C,3,FALSE),0)</f>
        <v>44636</v>
      </c>
      <c r="O254" s="8">
        <f t="shared" si="4"/>
        <v>44652</v>
      </c>
      <c r="P254" s="8">
        <f t="shared" si="5"/>
        <v>44652</v>
      </c>
    </row>
    <row r="255" spans="1:16" ht="15" x14ac:dyDescent="0.25">
      <c r="A255" s="2" t="s">
        <v>281</v>
      </c>
      <c r="B255" s="2" t="s">
        <v>24</v>
      </c>
      <c r="C255" s="3" t="str">
        <f>VLOOKUP(B255,Dados!$A$3:$B$10,2,FALSE)</f>
        <v>Time 2</v>
      </c>
      <c r="D255" s="2" t="s">
        <v>22</v>
      </c>
      <c r="E255" s="2" t="s">
        <v>19</v>
      </c>
      <c r="F255" s="4">
        <v>87613711446</v>
      </c>
      <c r="G255" s="5" t="str">
        <f t="shared" si="0"/>
        <v>87613711446</v>
      </c>
      <c r="H255" s="6">
        <v>2858</v>
      </c>
      <c r="I255" s="6">
        <v>0</v>
      </c>
      <c r="J255" s="7">
        <f t="shared" si="1"/>
        <v>2858</v>
      </c>
      <c r="K255" s="7">
        <f t="shared" si="2"/>
        <v>857.4</v>
      </c>
      <c r="L255" s="7">
        <f t="shared" si="3"/>
        <v>1</v>
      </c>
      <c r="M255" s="7">
        <f>IFERROR(VLOOKUP(G255,'Base de faturamento'!A:C,2,FALSE),0)</f>
        <v>2858</v>
      </c>
      <c r="N255" s="8">
        <f>IFERROR(VLOOKUP(G255,'Base de faturamento'!A:C,3,FALSE),0)</f>
        <v>44675</v>
      </c>
      <c r="O255" s="8">
        <f t="shared" si="4"/>
        <v>44682</v>
      </c>
      <c r="P255" s="8">
        <f t="shared" si="5"/>
        <v>44682</v>
      </c>
    </row>
    <row r="256" spans="1:16" ht="15" x14ac:dyDescent="0.25">
      <c r="A256" s="2" t="s">
        <v>282</v>
      </c>
      <c r="B256" s="2" t="s">
        <v>21</v>
      </c>
      <c r="C256" s="3" t="str">
        <f>VLOOKUP(B256,Dados!$A$3:$B$10,2,FALSE)</f>
        <v>Time 1</v>
      </c>
      <c r="D256" s="2" t="s">
        <v>18</v>
      </c>
      <c r="E256" s="2" t="s">
        <v>25</v>
      </c>
      <c r="F256" s="4">
        <v>88167700339</v>
      </c>
      <c r="G256" s="5" t="str">
        <f t="shared" si="0"/>
        <v>88167700339</v>
      </c>
      <c r="H256" s="6">
        <v>2183</v>
      </c>
      <c r="I256" s="6">
        <v>4415</v>
      </c>
      <c r="J256" s="7">
        <f t="shared" si="1"/>
        <v>0</v>
      </c>
      <c r="K256" s="7">
        <f t="shared" si="2"/>
        <v>0</v>
      </c>
      <c r="L256" s="7">
        <f t="shared" si="3"/>
        <v>1</v>
      </c>
      <c r="M256" s="7">
        <f>IFERROR(VLOOKUP(G256,'Base de faturamento'!A:C,2,FALSE),0)</f>
        <v>2183</v>
      </c>
      <c r="N256" s="8">
        <f>IFERROR(VLOOKUP(G256,'Base de faturamento'!A:C,3,FALSE),0)</f>
        <v>44723</v>
      </c>
      <c r="O256" s="8">
        <f t="shared" si="4"/>
        <v>44727</v>
      </c>
      <c r="P256" s="8">
        <f t="shared" si="5"/>
        <v>44743</v>
      </c>
    </row>
    <row r="257" spans="1:16" ht="15" x14ac:dyDescent="0.25">
      <c r="A257" s="2" t="s">
        <v>283</v>
      </c>
      <c r="B257" s="2" t="s">
        <v>29</v>
      </c>
      <c r="C257" s="3" t="str">
        <f>VLOOKUP(B257,Dados!$A$3:$B$10,2,FALSE)</f>
        <v>Time 2</v>
      </c>
      <c r="D257" s="2" t="s">
        <v>22</v>
      </c>
      <c r="E257" s="2" t="s">
        <v>25</v>
      </c>
      <c r="F257" s="4">
        <v>88355096302</v>
      </c>
      <c r="G257" s="5" t="str">
        <f t="shared" ref="G257:G511" si="6">SUBSTITUTE(SUBSTITUTE(F257,"-",""),".","")</f>
        <v>88355096302</v>
      </c>
      <c r="H257" s="6">
        <v>5208</v>
      </c>
      <c r="I257" s="6">
        <v>2383</v>
      </c>
      <c r="J257" s="7">
        <f t="shared" ref="J257:J511" si="7">IF(E257="Novo",H257,IF(AND(H257&gt;I257,E257="Renovação"),H257-I257,0))</f>
        <v>2825</v>
      </c>
      <c r="K257" s="7">
        <f t="shared" ref="K257:K511" si="8">IF(M257&gt;0,IF(D257="Móvel",J257*30%,J257*20%),0)</f>
        <v>0</v>
      </c>
      <c r="L257" s="7">
        <f t="shared" ref="L257:L511" si="9">IF(M257&gt;0,1,0)</f>
        <v>0</v>
      </c>
      <c r="M257" s="7">
        <f>IFERROR(VLOOKUP(G257,'Base de faturamento'!A:C,2,FALSE),0)</f>
        <v>0</v>
      </c>
      <c r="N257" s="8">
        <f>IFERROR(VLOOKUP(G257,'Base de faturamento'!A:C,3,FALSE),0)</f>
        <v>0</v>
      </c>
      <c r="O257" s="8">
        <f t="shared" ref="O257:O511" si="10">IF(C257="Time 1",DATE(YEAR(N257),MONTH(N257),15),DATE(YEAR(N257),MONTH(N257)+1,1))</f>
        <v>32</v>
      </c>
      <c r="P257" s="9" t="b">
        <f t="shared" ref="P257:P511" si="11">IF(L257=1,DATE(YEAR(N257),MONTH(N257)+1,1))</f>
        <v>0</v>
      </c>
    </row>
    <row r="258" spans="1:16" ht="15" x14ac:dyDescent="0.25">
      <c r="A258" s="2" t="s">
        <v>284</v>
      </c>
      <c r="B258" s="2" t="s">
        <v>17</v>
      </c>
      <c r="C258" s="3" t="str">
        <f>VLOOKUP(B258,Dados!$A$3:$B$10,2,FALSE)</f>
        <v>Time 3</v>
      </c>
      <c r="D258" s="2" t="s">
        <v>18</v>
      </c>
      <c r="E258" s="2" t="s">
        <v>25</v>
      </c>
      <c r="F258" s="4">
        <v>88369933883</v>
      </c>
      <c r="G258" s="5" t="str">
        <f t="shared" si="6"/>
        <v>88369933883</v>
      </c>
      <c r="H258" s="6">
        <v>5451</v>
      </c>
      <c r="I258" s="6">
        <v>6797</v>
      </c>
      <c r="J258" s="7">
        <f t="shared" si="7"/>
        <v>0</v>
      </c>
      <c r="K258" s="7">
        <f t="shared" si="8"/>
        <v>0</v>
      </c>
      <c r="L258" s="7">
        <f t="shared" si="9"/>
        <v>1</v>
      </c>
      <c r="M258" s="7">
        <f>IFERROR(VLOOKUP(G258,'Base de faturamento'!A:C,2,FALSE),0)</f>
        <v>5451</v>
      </c>
      <c r="N258" s="8">
        <f>IFERROR(VLOOKUP(G258,'Base de faturamento'!A:C,3,FALSE),0)</f>
        <v>44656</v>
      </c>
      <c r="O258" s="8">
        <f t="shared" si="10"/>
        <v>44682</v>
      </c>
      <c r="P258" s="8">
        <f t="shared" si="11"/>
        <v>44682</v>
      </c>
    </row>
    <row r="259" spans="1:16" ht="15" x14ac:dyDescent="0.25">
      <c r="A259" s="2" t="s">
        <v>285</v>
      </c>
      <c r="B259" s="2" t="s">
        <v>17</v>
      </c>
      <c r="C259" s="3" t="str">
        <f>VLOOKUP(B259,Dados!$A$3:$B$10,2,FALSE)</f>
        <v>Time 3</v>
      </c>
      <c r="D259" s="2" t="s">
        <v>22</v>
      </c>
      <c r="E259" s="2" t="s">
        <v>25</v>
      </c>
      <c r="F259" s="4">
        <v>88768619497</v>
      </c>
      <c r="G259" s="5" t="str">
        <f t="shared" si="6"/>
        <v>88768619497</v>
      </c>
      <c r="H259" s="6">
        <v>7556</v>
      </c>
      <c r="I259" s="6">
        <v>1301</v>
      </c>
      <c r="J259" s="7">
        <f t="shared" si="7"/>
        <v>6255</v>
      </c>
      <c r="K259" s="7">
        <f t="shared" si="8"/>
        <v>1876.5</v>
      </c>
      <c r="L259" s="7">
        <f t="shared" si="9"/>
        <v>1</v>
      </c>
      <c r="M259" s="7">
        <f>IFERROR(VLOOKUP(G259,'Base de faturamento'!A:C,2,FALSE),0)</f>
        <v>7556</v>
      </c>
      <c r="N259" s="8">
        <f>IFERROR(VLOOKUP(G259,'Base de faturamento'!A:C,3,FALSE),0)</f>
        <v>44722</v>
      </c>
      <c r="O259" s="8">
        <f t="shared" si="10"/>
        <v>44743</v>
      </c>
      <c r="P259" s="8">
        <f t="shared" si="11"/>
        <v>44743</v>
      </c>
    </row>
    <row r="260" spans="1:16" ht="15" x14ac:dyDescent="0.25">
      <c r="A260" s="2" t="s">
        <v>286</v>
      </c>
      <c r="B260" s="2" t="s">
        <v>27</v>
      </c>
      <c r="C260" s="3" t="str">
        <f>VLOOKUP(B260,Dados!$A$3:$B$10,2,FALSE)</f>
        <v>Time 2</v>
      </c>
      <c r="D260" s="2" t="s">
        <v>18</v>
      </c>
      <c r="E260" s="2" t="s">
        <v>19</v>
      </c>
      <c r="F260" s="4">
        <v>88904404144</v>
      </c>
      <c r="G260" s="5" t="str">
        <f t="shared" si="6"/>
        <v>88904404144</v>
      </c>
      <c r="H260" s="6">
        <v>9274</v>
      </c>
      <c r="I260" s="6">
        <v>0</v>
      </c>
      <c r="J260" s="7">
        <f t="shared" si="7"/>
        <v>9274</v>
      </c>
      <c r="K260" s="7">
        <f t="shared" si="8"/>
        <v>1854.8000000000002</v>
      </c>
      <c r="L260" s="7">
        <f t="shared" si="9"/>
        <v>1</v>
      </c>
      <c r="M260" s="7">
        <f>IFERROR(VLOOKUP(G260,'Base de faturamento'!A:C,2,FALSE),0)</f>
        <v>9274</v>
      </c>
      <c r="N260" s="8">
        <f>IFERROR(VLOOKUP(G260,'Base de faturamento'!A:C,3,FALSE),0)</f>
        <v>44730</v>
      </c>
      <c r="O260" s="8">
        <f t="shared" si="10"/>
        <v>44743</v>
      </c>
      <c r="P260" s="8">
        <f t="shared" si="11"/>
        <v>44743</v>
      </c>
    </row>
    <row r="261" spans="1:16" ht="15" x14ac:dyDescent="0.25">
      <c r="A261" s="2" t="s">
        <v>287</v>
      </c>
      <c r="B261" s="2" t="s">
        <v>17</v>
      </c>
      <c r="C261" s="3" t="str">
        <f>VLOOKUP(B261,Dados!$A$3:$B$10,2,FALSE)</f>
        <v>Time 3</v>
      </c>
      <c r="D261" s="2" t="s">
        <v>18</v>
      </c>
      <c r="E261" s="2" t="s">
        <v>19</v>
      </c>
      <c r="F261" s="4">
        <v>89126935150</v>
      </c>
      <c r="G261" s="5" t="str">
        <f t="shared" si="6"/>
        <v>89126935150</v>
      </c>
      <c r="H261" s="6">
        <v>7776</v>
      </c>
      <c r="I261" s="6">
        <v>0</v>
      </c>
      <c r="J261" s="7">
        <f t="shared" si="7"/>
        <v>7776</v>
      </c>
      <c r="K261" s="7">
        <f t="shared" si="8"/>
        <v>1555.2</v>
      </c>
      <c r="L261" s="7">
        <f t="shared" si="9"/>
        <v>1</v>
      </c>
      <c r="M261" s="7">
        <f>IFERROR(VLOOKUP(G261,'Base de faturamento'!A:C,2,FALSE),0)</f>
        <v>7776</v>
      </c>
      <c r="N261" s="8">
        <f>IFERROR(VLOOKUP(G261,'Base de faturamento'!A:C,3,FALSE),0)</f>
        <v>44706</v>
      </c>
      <c r="O261" s="8">
        <f t="shared" si="10"/>
        <v>44713</v>
      </c>
      <c r="P261" s="8">
        <f t="shared" si="11"/>
        <v>44713</v>
      </c>
    </row>
    <row r="262" spans="1:16" ht="15" x14ac:dyDescent="0.25">
      <c r="A262" s="2" t="s">
        <v>288</v>
      </c>
      <c r="B262" s="2" t="s">
        <v>27</v>
      </c>
      <c r="C262" s="3" t="str">
        <f>VLOOKUP(B262,Dados!$A$3:$B$10,2,FALSE)</f>
        <v>Time 2</v>
      </c>
      <c r="D262" s="2" t="s">
        <v>22</v>
      </c>
      <c r="E262" s="2" t="s">
        <v>25</v>
      </c>
      <c r="F262" s="4">
        <v>89217559216</v>
      </c>
      <c r="G262" s="5" t="str">
        <f t="shared" si="6"/>
        <v>89217559216</v>
      </c>
      <c r="H262" s="6">
        <v>9893</v>
      </c>
      <c r="I262" s="6">
        <v>6925</v>
      </c>
      <c r="J262" s="7">
        <f t="shared" si="7"/>
        <v>2968</v>
      </c>
      <c r="K262" s="7">
        <f t="shared" si="8"/>
        <v>0</v>
      </c>
      <c r="L262" s="7">
        <f t="shared" si="9"/>
        <v>0</v>
      </c>
      <c r="M262" s="7">
        <f>IFERROR(VLOOKUP(G262,'Base de faturamento'!A:C,2,FALSE),0)</f>
        <v>0</v>
      </c>
      <c r="N262" s="8">
        <f>IFERROR(VLOOKUP(G262,'Base de faturamento'!A:C,3,FALSE),0)</f>
        <v>0</v>
      </c>
      <c r="O262" s="8">
        <f t="shared" si="10"/>
        <v>32</v>
      </c>
      <c r="P262" s="9" t="b">
        <f t="shared" si="11"/>
        <v>0</v>
      </c>
    </row>
    <row r="263" spans="1:16" ht="15" x14ac:dyDescent="0.25">
      <c r="A263" s="2" t="s">
        <v>289</v>
      </c>
      <c r="B263" s="2" t="s">
        <v>33</v>
      </c>
      <c r="C263" s="3" t="str">
        <f>VLOOKUP(B263,Dados!$A$3:$B$10,2,FALSE)</f>
        <v>Time 1</v>
      </c>
      <c r="D263" s="2" t="s">
        <v>22</v>
      </c>
      <c r="E263" s="2" t="s">
        <v>19</v>
      </c>
      <c r="F263" s="4">
        <v>89531735285</v>
      </c>
      <c r="G263" s="5" t="str">
        <f t="shared" si="6"/>
        <v>89531735285</v>
      </c>
      <c r="H263" s="6">
        <v>5151</v>
      </c>
      <c r="I263" s="6">
        <v>0</v>
      </c>
      <c r="J263" s="7">
        <f t="shared" si="7"/>
        <v>5151</v>
      </c>
      <c r="K263" s="7">
        <f t="shared" si="8"/>
        <v>1545.3</v>
      </c>
      <c r="L263" s="7">
        <f t="shared" si="9"/>
        <v>1</v>
      </c>
      <c r="M263" s="7">
        <f>IFERROR(VLOOKUP(G263,'Base de faturamento'!A:C,2,FALSE),0)</f>
        <v>5151</v>
      </c>
      <c r="N263" s="8">
        <f>IFERROR(VLOOKUP(G263,'Base de faturamento'!A:C,3,FALSE),0)</f>
        <v>44669</v>
      </c>
      <c r="O263" s="8">
        <f t="shared" si="10"/>
        <v>44666</v>
      </c>
      <c r="P263" s="8">
        <f t="shared" si="11"/>
        <v>44682</v>
      </c>
    </row>
    <row r="264" spans="1:16" ht="15" x14ac:dyDescent="0.25">
      <c r="A264" s="2" t="s">
        <v>290</v>
      </c>
      <c r="B264" s="2" t="s">
        <v>24</v>
      </c>
      <c r="C264" s="3" t="str">
        <f>VLOOKUP(B264,Dados!$A$3:$B$10,2,FALSE)</f>
        <v>Time 2</v>
      </c>
      <c r="D264" s="2" t="s">
        <v>18</v>
      </c>
      <c r="E264" s="2" t="s">
        <v>19</v>
      </c>
      <c r="F264" s="4">
        <v>89936570556</v>
      </c>
      <c r="G264" s="5" t="str">
        <f t="shared" si="6"/>
        <v>89936570556</v>
      </c>
      <c r="H264" s="6">
        <v>3122</v>
      </c>
      <c r="I264" s="6">
        <v>0</v>
      </c>
      <c r="J264" s="7">
        <f t="shared" si="7"/>
        <v>3122</v>
      </c>
      <c r="K264" s="7">
        <f t="shared" si="8"/>
        <v>624.40000000000009</v>
      </c>
      <c r="L264" s="7">
        <f t="shared" si="9"/>
        <v>1</v>
      </c>
      <c r="M264" s="7">
        <f>IFERROR(VLOOKUP(G264,'Base de faturamento'!A:C,2,FALSE),0)</f>
        <v>3122</v>
      </c>
      <c r="N264" s="8">
        <f>IFERROR(VLOOKUP(G264,'Base de faturamento'!A:C,3,FALSE),0)</f>
        <v>44646</v>
      </c>
      <c r="O264" s="8">
        <f t="shared" si="10"/>
        <v>44652</v>
      </c>
      <c r="P264" s="8">
        <f t="shared" si="11"/>
        <v>44652</v>
      </c>
    </row>
    <row r="265" spans="1:16" ht="15" x14ac:dyDescent="0.25">
      <c r="A265" s="2" t="s">
        <v>291</v>
      </c>
      <c r="B265" s="2" t="s">
        <v>21</v>
      </c>
      <c r="C265" s="3" t="str">
        <f>VLOOKUP(B265,Dados!$A$3:$B$10,2,FALSE)</f>
        <v>Time 1</v>
      </c>
      <c r="D265" s="2" t="s">
        <v>22</v>
      </c>
      <c r="E265" s="2" t="s">
        <v>19</v>
      </c>
      <c r="F265" s="4">
        <v>90229387145</v>
      </c>
      <c r="G265" s="5" t="str">
        <f t="shared" si="6"/>
        <v>90229387145</v>
      </c>
      <c r="H265" s="6">
        <v>1947</v>
      </c>
      <c r="I265" s="6">
        <v>0</v>
      </c>
      <c r="J265" s="7">
        <f t="shared" si="7"/>
        <v>1947</v>
      </c>
      <c r="K265" s="7">
        <f t="shared" si="8"/>
        <v>584.1</v>
      </c>
      <c r="L265" s="7">
        <f t="shared" si="9"/>
        <v>1</v>
      </c>
      <c r="M265" s="7">
        <f>IFERROR(VLOOKUP(G265,'Base de faturamento'!A:C,2,FALSE),0)</f>
        <v>1947</v>
      </c>
      <c r="N265" s="8">
        <f>IFERROR(VLOOKUP(G265,'Base de faturamento'!A:C,3,FALSE),0)</f>
        <v>44713</v>
      </c>
      <c r="O265" s="8">
        <f t="shared" si="10"/>
        <v>44727</v>
      </c>
      <c r="P265" s="8">
        <f t="shared" si="11"/>
        <v>44743</v>
      </c>
    </row>
    <row r="266" spans="1:16" ht="15" x14ac:dyDescent="0.25">
      <c r="A266" s="2" t="s">
        <v>292</v>
      </c>
      <c r="B266" s="2" t="s">
        <v>21</v>
      </c>
      <c r="C266" s="3" t="str">
        <f>VLOOKUP(B266,Dados!$A$3:$B$10,2,FALSE)</f>
        <v>Time 1</v>
      </c>
      <c r="D266" s="2" t="s">
        <v>22</v>
      </c>
      <c r="E266" s="2" t="s">
        <v>19</v>
      </c>
      <c r="F266" s="4">
        <v>90719790842</v>
      </c>
      <c r="G266" s="5" t="str">
        <f t="shared" si="6"/>
        <v>90719790842</v>
      </c>
      <c r="H266" s="6">
        <v>4140</v>
      </c>
      <c r="I266" s="6">
        <v>0</v>
      </c>
      <c r="J266" s="7">
        <f t="shared" si="7"/>
        <v>4140</v>
      </c>
      <c r="K266" s="7">
        <f t="shared" si="8"/>
        <v>1242</v>
      </c>
      <c r="L266" s="7">
        <f t="shared" si="9"/>
        <v>1</v>
      </c>
      <c r="M266" s="7">
        <f>IFERROR(VLOOKUP(G266,'Base de faturamento'!A:C,2,FALSE),0)</f>
        <v>4140</v>
      </c>
      <c r="N266" s="8">
        <f>IFERROR(VLOOKUP(G266,'Base de faturamento'!A:C,3,FALSE),0)</f>
        <v>44695</v>
      </c>
      <c r="O266" s="8">
        <f t="shared" si="10"/>
        <v>44696</v>
      </c>
      <c r="P266" s="8">
        <f t="shared" si="11"/>
        <v>44713</v>
      </c>
    </row>
    <row r="267" spans="1:16" ht="15" x14ac:dyDescent="0.25">
      <c r="A267" s="2" t="s">
        <v>293</v>
      </c>
      <c r="B267" s="2" t="s">
        <v>24</v>
      </c>
      <c r="C267" s="3" t="str">
        <f>VLOOKUP(B267,Dados!$A$3:$B$10,2,FALSE)</f>
        <v>Time 2</v>
      </c>
      <c r="D267" s="2" t="s">
        <v>22</v>
      </c>
      <c r="E267" s="2" t="s">
        <v>25</v>
      </c>
      <c r="F267" s="4">
        <v>90948874308</v>
      </c>
      <c r="G267" s="5" t="str">
        <f t="shared" si="6"/>
        <v>90948874308</v>
      </c>
      <c r="H267" s="6">
        <v>1188</v>
      </c>
      <c r="I267" s="6">
        <v>1766</v>
      </c>
      <c r="J267" s="7">
        <f t="shared" si="7"/>
        <v>0</v>
      </c>
      <c r="K267" s="7">
        <f t="shared" si="8"/>
        <v>0</v>
      </c>
      <c r="L267" s="7">
        <f t="shared" si="9"/>
        <v>1</v>
      </c>
      <c r="M267" s="7">
        <f>IFERROR(VLOOKUP(G267,'Base de faturamento'!A:C,2,FALSE),0)</f>
        <v>1188</v>
      </c>
      <c r="N267" s="8">
        <f>IFERROR(VLOOKUP(G267,'Base de faturamento'!A:C,3,FALSE),0)</f>
        <v>44729</v>
      </c>
      <c r="O267" s="8">
        <f t="shared" si="10"/>
        <v>44743</v>
      </c>
      <c r="P267" s="8">
        <f t="shared" si="11"/>
        <v>44743</v>
      </c>
    </row>
    <row r="268" spans="1:16" ht="15" x14ac:dyDescent="0.25">
      <c r="A268" s="2" t="s">
        <v>294</v>
      </c>
      <c r="B268" s="2" t="s">
        <v>17</v>
      </c>
      <c r="C268" s="3" t="str">
        <f>VLOOKUP(B268,Dados!$A$3:$B$10,2,FALSE)</f>
        <v>Time 3</v>
      </c>
      <c r="D268" s="2" t="s">
        <v>18</v>
      </c>
      <c r="E268" s="2" t="s">
        <v>19</v>
      </c>
      <c r="F268" s="4">
        <v>91115775609</v>
      </c>
      <c r="G268" s="5" t="str">
        <f t="shared" si="6"/>
        <v>91115775609</v>
      </c>
      <c r="H268" s="6">
        <v>8281</v>
      </c>
      <c r="I268" s="6">
        <v>0</v>
      </c>
      <c r="J268" s="7">
        <f t="shared" si="7"/>
        <v>8281</v>
      </c>
      <c r="K268" s="7">
        <f t="shared" si="8"/>
        <v>1656.2</v>
      </c>
      <c r="L268" s="7">
        <f t="shared" si="9"/>
        <v>1</v>
      </c>
      <c r="M268" s="7">
        <f>IFERROR(VLOOKUP(G268,'Base de faturamento'!A:C,2,FALSE),0)</f>
        <v>8281</v>
      </c>
      <c r="N268" s="8">
        <f>IFERROR(VLOOKUP(G268,'Base de faturamento'!A:C,3,FALSE),0)</f>
        <v>44656</v>
      </c>
      <c r="O268" s="8">
        <f t="shared" si="10"/>
        <v>44682</v>
      </c>
      <c r="P268" s="8">
        <f t="shared" si="11"/>
        <v>44682</v>
      </c>
    </row>
    <row r="269" spans="1:16" ht="15" x14ac:dyDescent="0.25">
      <c r="A269" s="2" t="s">
        <v>295</v>
      </c>
      <c r="B269" s="2" t="s">
        <v>33</v>
      </c>
      <c r="C269" s="3" t="str">
        <f>VLOOKUP(B269,Dados!$A$3:$B$10,2,FALSE)</f>
        <v>Time 1</v>
      </c>
      <c r="D269" s="2" t="s">
        <v>22</v>
      </c>
      <c r="E269" s="2" t="s">
        <v>25</v>
      </c>
      <c r="F269" s="4">
        <v>91230368786</v>
      </c>
      <c r="G269" s="5" t="str">
        <f t="shared" si="6"/>
        <v>91230368786</v>
      </c>
      <c r="H269" s="6">
        <v>9375</v>
      </c>
      <c r="I269" s="6">
        <v>3237</v>
      </c>
      <c r="J269" s="7">
        <f t="shared" si="7"/>
        <v>6138</v>
      </c>
      <c r="K269" s="7">
        <f t="shared" si="8"/>
        <v>1841.3999999999999</v>
      </c>
      <c r="L269" s="7">
        <f t="shared" si="9"/>
        <v>1</v>
      </c>
      <c r="M269" s="7">
        <f>IFERROR(VLOOKUP(G269,'Base de faturamento'!A:C,2,FALSE),0)</f>
        <v>9375</v>
      </c>
      <c r="N269" s="8">
        <f>IFERROR(VLOOKUP(G269,'Base de faturamento'!A:C,3,FALSE),0)</f>
        <v>44738</v>
      </c>
      <c r="O269" s="8">
        <f t="shared" si="10"/>
        <v>44727</v>
      </c>
      <c r="P269" s="8">
        <f t="shared" si="11"/>
        <v>44743</v>
      </c>
    </row>
    <row r="270" spans="1:16" ht="15" x14ac:dyDescent="0.25">
      <c r="A270" s="2" t="s">
        <v>296</v>
      </c>
      <c r="B270" s="2" t="s">
        <v>29</v>
      </c>
      <c r="C270" s="3" t="str">
        <f>VLOOKUP(B270,Dados!$A$3:$B$10,2,FALSE)</f>
        <v>Time 2</v>
      </c>
      <c r="D270" s="2" t="s">
        <v>22</v>
      </c>
      <c r="E270" s="2" t="s">
        <v>19</v>
      </c>
      <c r="F270" s="4">
        <v>91488746481</v>
      </c>
      <c r="G270" s="5" t="str">
        <f t="shared" si="6"/>
        <v>91488746481</v>
      </c>
      <c r="H270" s="6">
        <v>6836</v>
      </c>
      <c r="I270" s="6">
        <v>0</v>
      </c>
      <c r="J270" s="7">
        <f t="shared" si="7"/>
        <v>6836</v>
      </c>
      <c r="K270" s="7">
        <f t="shared" si="8"/>
        <v>2050.7999999999997</v>
      </c>
      <c r="L270" s="7">
        <f t="shared" si="9"/>
        <v>1</v>
      </c>
      <c r="M270" s="7">
        <f>IFERROR(VLOOKUP(G270,'Base de faturamento'!A:C,2,FALSE),0)</f>
        <v>6836</v>
      </c>
      <c r="N270" s="8">
        <f>IFERROR(VLOOKUP(G270,'Base de faturamento'!A:C,3,FALSE),0)</f>
        <v>44642</v>
      </c>
      <c r="O270" s="8">
        <f t="shared" si="10"/>
        <v>44652</v>
      </c>
      <c r="P270" s="8">
        <f t="shared" si="11"/>
        <v>44652</v>
      </c>
    </row>
    <row r="271" spans="1:16" ht="15" x14ac:dyDescent="0.25">
      <c r="A271" s="2" t="s">
        <v>297</v>
      </c>
      <c r="B271" s="2" t="s">
        <v>31</v>
      </c>
      <c r="C271" s="3" t="str">
        <f>VLOOKUP(B271,Dados!$A$3:$B$10,2,FALSE)</f>
        <v>Time 3</v>
      </c>
      <c r="D271" s="2" t="s">
        <v>18</v>
      </c>
      <c r="E271" s="2" t="s">
        <v>19</v>
      </c>
      <c r="F271" s="4">
        <v>91554773893</v>
      </c>
      <c r="G271" s="5" t="str">
        <f t="shared" si="6"/>
        <v>91554773893</v>
      </c>
      <c r="H271" s="6">
        <v>6731</v>
      </c>
      <c r="I271" s="6">
        <v>0</v>
      </c>
      <c r="J271" s="7">
        <f t="shared" si="7"/>
        <v>6731</v>
      </c>
      <c r="K271" s="7">
        <f t="shared" si="8"/>
        <v>1346.2</v>
      </c>
      <c r="L271" s="7">
        <f t="shared" si="9"/>
        <v>1</v>
      </c>
      <c r="M271" s="7">
        <f>IFERROR(VLOOKUP(G271,'Base de faturamento'!A:C,2,FALSE),0)</f>
        <v>6731</v>
      </c>
      <c r="N271" s="8">
        <f>IFERROR(VLOOKUP(G271,'Base de faturamento'!A:C,3,FALSE),0)</f>
        <v>44700</v>
      </c>
      <c r="O271" s="8">
        <f t="shared" si="10"/>
        <v>44713</v>
      </c>
      <c r="P271" s="8">
        <f t="shared" si="11"/>
        <v>44713</v>
      </c>
    </row>
    <row r="272" spans="1:16" ht="15" x14ac:dyDescent="0.25">
      <c r="A272" s="2" t="s">
        <v>298</v>
      </c>
      <c r="B272" s="2" t="s">
        <v>21</v>
      </c>
      <c r="C272" s="3" t="str">
        <f>VLOOKUP(B272,Dados!$A$3:$B$10,2,FALSE)</f>
        <v>Time 1</v>
      </c>
      <c r="D272" s="2" t="s">
        <v>18</v>
      </c>
      <c r="E272" s="2" t="s">
        <v>25</v>
      </c>
      <c r="F272" s="4">
        <v>91898328279</v>
      </c>
      <c r="G272" s="5" t="str">
        <f t="shared" si="6"/>
        <v>91898328279</v>
      </c>
      <c r="H272" s="6">
        <v>5453</v>
      </c>
      <c r="I272" s="6">
        <v>9751</v>
      </c>
      <c r="J272" s="7">
        <f t="shared" si="7"/>
        <v>0</v>
      </c>
      <c r="K272" s="7">
        <f t="shared" si="8"/>
        <v>0</v>
      </c>
      <c r="L272" s="7">
        <f t="shared" si="9"/>
        <v>1</v>
      </c>
      <c r="M272" s="7">
        <f>IFERROR(VLOOKUP(G272,'Base de faturamento'!A:C,2,FALSE),0)</f>
        <v>5453</v>
      </c>
      <c r="N272" s="8">
        <f>IFERROR(VLOOKUP(G272,'Base de faturamento'!A:C,3,FALSE),0)</f>
        <v>44684</v>
      </c>
      <c r="O272" s="8">
        <f t="shared" si="10"/>
        <v>44696</v>
      </c>
      <c r="P272" s="8">
        <f t="shared" si="11"/>
        <v>44713</v>
      </c>
    </row>
    <row r="273" spans="1:16" ht="15" x14ac:dyDescent="0.25">
      <c r="A273" s="2" t="s">
        <v>299</v>
      </c>
      <c r="B273" s="2" t="s">
        <v>21</v>
      </c>
      <c r="C273" s="3" t="str">
        <f>VLOOKUP(B273,Dados!$A$3:$B$10,2,FALSE)</f>
        <v>Time 1</v>
      </c>
      <c r="D273" s="2" t="s">
        <v>22</v>
      </c>
      <c r="E273" s="2" t="s">
        <v>25</v>
      </c>
      <c r="F273" s="4">
        <v>92141502527</v>
      </c>
      <c r="G273" s="5" t="str">
        <f t="shared" si="6"/>
        <v>92141502527</v>
      </c>
      <c r="H273" s="6">
        <v>6524</v>
      </c>
      <c r="I273" s="6">
        <v>3498</v>
      </c>
      <c r="J273" s="7">
        <f t="shared" si="7"/>
        <v>3026</v>
      </c>
      <c r="K273" s="7">
        <f t="shared" si="8"/>
        <v>907.8</v>
      </c>
      <c r="L273" s="7">
        <f t="shared" si="9"/>
        <v>1</v>
      </c>
      <c r="M273" s="7">
        <f>IFERROR(VLOOKUP(G273,'Base de faturamento'!A:C,2,FALSE),0)</f>
        <v>6524</v>
      </c>
      <c r="N273" s="8">
        <f>IFERROR(VLOOKUP(G273,'Base de faturamento'!A:C,3,FALSE),0)</f>
        <v>44623</v>
      </c>
      <c r="O273" s="8">
        <f t="shared" si="10"/>
        <v>44635</v>
      </c>
      <c r="P273" s="8">
        <f t="shared" si="11"/>
        <v>44652</v>
      </c>
    </row>
    <row r="274" spans="1:16" ht="15" x14ac:dyDescent="0.25">
      <c r="A274" s="2" t="s">
        <v>300</v>
      </c>
      <c r="B274" s="2" t="s">
        <v>29</v>
      </c>
      <c r="C274" s="3" t="str">
        <f>VLOOKUP(B274,Dados!$A$3:$B$10,2,FALSE)</f>
        <v>Time 2</v>
      </c>
      <c r="D274" s="2" t="s">
        <v>22</v>
      </c>
      <c r="E274" s="2" t="s">
        <v>25</v>
      </c>
      <c r="F274" s="4">
        <v>92592679266</v>
      </c>
      <c r="G274" s="5" t="str">
        <f t="shared" si="6"/>
        <v>92592679266</v>
      </c>
      <c r="H274" s="6">
        <v>6711</v>
      </c>
      <c r="I274" s="6">
        <v>4510</v>
      </c>
      <c r="J274" s="7">
        <f t="shared" si="7"/>
        <v>2201</v>
      </c>
      <c r="K274" s="7">
        <f t="shared" si="8"/>
        <v>0</v>
      </c>
      <c r="L274" s="7">
        <f t="shared" si="9"/>
        <v>0</v>
      </c>
      <c r="M274" s="7">
        <f>IFERROR(VLOOKUP(G274,'Base de faturamento'!A:C,2,FALSE),0)</f>
        <v>0</v>
      </c>
      <c r="N274" s="8">
        <f>IFERROR(VLOOKUP(G274,'Base de faturamento'!A:C,3,FALSE),0)</f>
        <v>0</v>
      </c>
      <c r="O274" s="8">
        <f t="shared" si="10"/>
        <v>32</v>
      </c>
      <c r="P274" s="9" t="b">
        <f t="shared" si="11"/>
        <v>0</v>
      </c>
    </row>
    <row r="275" spans="1:16" ht="15" x14ac:dyDescent="0.25">
      <c r="A275" s="2" t="s">
        <v>301</v>
      </c>
      <c r="B275" s="2" t="s">
        <v>21</v>
      </c>
      <c r="C275" s="3" t="str">
        <f>VLOOKUP(B275,Dados!$A$3:$B$10,2,FALSE)</f>
        <v>Time 1</v>
      </c>
      <c r="D275" s="2" t="s">
        <v>22</v>
      </c>
      <c r="E275" s="2" t="s">
        <v>25</v>
      </c>
      <c r="F275" s="4">
        <v>92871093640</v>
      </c>
      <c r="G275" s="5" t="str">
        <f t="shared" si="6"/>
        <v>92871093640</v>
      </c>
      <c r="H275" s="6">
        <v>5546</v>
      </c>
      <c r="I275" s="6">
        <v>6779</v>
      </c>
      <c r="J275" s="7">
        <f t="shared" si="7"/>
        <v>0</v>
      </c>
      <c r="K275" s="7">
        <f t="shared" si="8"/>
        <v>0</v>
      </c>
      <c r="L275" s="7">
        <f t="shared" si="9"/>
        <v>1</v>
      </c>
      <c r="M275" s="7">
        <f>IFERROR(VLOOKUP(G275,'Base de faturamento'!A:C,2,FALSE),0)</f>
        <v>5546</v>
      </c>
      <c r="N275" s="8">
        <f>IFERROR(VLOOKUP(G275,'Base de faturamento'!A:C,3,FALSE),0)</f>
        <v>44686</v>
      </c>
      <c r="O275" s="8">
        <f t="shared" si="10"/>
        <v>44696</v>
      </c>
      <c r="P275" s="8">
        <f t="shared" si="11"/>
        <v>44713</v>
      </c>
    </row>
    <row r="276" spans="1:16" ht="15" x14ac:dyDescent="0.25">
      <c r="A276" s="2" t="s">
        <v>302</v>
      </c>
      <c r="B276" s="2" t="s">
        <v>33</v>
      </c>
      <c r="C276" s="3" t="str">
        <f>VLOOKUP(B276,Dados!$A$3:$B$10,2,FALSE)</f>
        <v>Time 1</v>
      </c>
      <c r="D276" s="2" t="s">
        <v>18</v>
      </c>
      <c r="E276" s="2" t="s">
        <v>25</v>
      </c>
      <c r="F276" s="4">
        <v>93230313688</v>
      </c>
      <c r="G276" s="5" t="str">
        <f t="shared" si="6"/>
        <v>93230313688</v>
      </c>
      <c r="H276" s="6">
        <v>9131</v>
      </c>
      <c r="I276" s="6">
        <v>3363</v>
      </c>
      <c r="J276" s="7">
        <f t="shared" si="7"/>
        <v>5768</v>
      </c>
      <c r="K276" s="7">
        <f t="shared" si="8"/>
        <v>1153.6000000000001</v>
      </c>
      <c r="L276" s="7">
        <f t="shared" si="9"/>
        <v>1</v>
      </c>
      <c r="M276" s="7">
        <f>IFERROR(VLOOKUP(G276,'Base de faturamento'!A:C,2,FALSE),0)</f>
        <v>9131</v>
      </c>
      <c r="N276" s="8">
        <f>IFERROR(VLOOKUP(G276,'Base de faturamento'!A:C,3,FALSE),0)</f>
        <v>44688</v>
      </c>
      <c r="O276" s="8">
        <f t="shared" si="10"/>
        <v>44696</v>
      </c>
      <c r="P276" s="8">
        <f t="shared" si="11"/>
        <v>44713</v>
      </c>
    </row>
    <row r="277" spans="1:16" ht="15" x14ac:dyDescent="0.25">
      <c r="A277" s="2" t="s">
        <v>303</v>
      </c>
      <c r="B277" s="2" t="s">
        <v>29</v>
      </c>
      <c r="C277" s="3" t="str">
        <f>VLOOKUP(B277,Dados!$A$3:$B$10,2,FALSE)</f>
        <v>Time 2</v>
      </c>
      <c r="D277" s="2" t="s">
        <v>22</v>
      </c>
      <c r="E277" s="2" t="s">
        <v>25</v>
      </c>
      <c r="F277" s="4">
        <v>93251549646</v>
      </c>
      <c r="G277" s="5" t="str">
        <f t="shared" si="6"/>
        <v>93251549646</v>
      </c>
      <c r="H277" s="6">
        <v>5213</v>
      </c>
      <c r="I277" s="6">
        <v>2604</v>
      </c>
      <c r="J277" s="7">
        <f t="shared" si="7"/>
        <v>2609</v>
      </c>
      <c r="K277" s="7">
        <f t="shared" si="8"/>
        <v>782.69999999999993</v>
      </c>
      <c r="L277" s="7">
        <f t="shared" si="9"/>
        <v>1</v>
      </c>
      <c r="M277" s="7">
        <f>IFERROR(VLOOKUP(G277,'Base de faturamento'!A:C,2,FALSE),0)</f>
        <v>5213</v>
      </c>
      <c r="N277" s="8">
        <f>IFERROR(VLOOKUP(G277,'Base de faturamento'!A:C,3,FALSE),0)</f>
        <v>44624</v>
      </c>
      <c r="O277" s="8">
        <f t="shared" si="10"/>
        <v>44652</v>
      </c>
      <c r="P277" s="8">
        <f t="shared" si="11"/>
        <v>44652</v>
      </c>
    </row>
    <row r="278" spans="1:16" ht="15" x14ac:dyDescent="0.25">
      <c r="A278" s="2" t="s">
        <v>304</v>
      </c>
      <c r="B278" s="2" t="s">
        <v>21</v>
      </c>
      <c r="C278" s="3" t="str">
        <f>VLOOKUP(B278,Dados!$A$3:$B$10,2,FALSE)</f>
        <v>Time 1</v>
      </c>
      <c r="D278" s="2" t="s">
        <v>18</v>
      </c>
      <c r="E278" s="2" t="s">
        <v>19</v>
      </c>
      <c r="F278" s="4">
        <v>93593939526</v>
      </c>
      <c r="G278" s="5" t="str">
        <f t="shared" si="6"/>
        <v>93593939526</v>
      </c>
      <c r="H278" s="6">
        <v>9404</v>
      </c>
      <c r="I278" s="6">
        <v>0</v>
      </c>
      <c r="J278" s="7">
        <f t="shared" si="7"/>
        <v>9404</v>
      </c>
      <c r="K278" s="7">
        <f t="shared" si="8"/>
        <v>1880.8000000000002</v>
      </c>
      <c r="L278" s="7">
        <f t="shared" si="9"/>
        <v>1</v>
      </c>
      <c r="M278" s="7">
        <f>IFERROR(VLOOKUP(G278,'Base de faturamento'!A:C,2,FALSE),0)</f>
        <v>9404</v>
      </c>
      <c r="N278" s="8">
        <f>IFERROR(VLOOKUP(G278,'Base de faturamento'!A:C,3,FALSE),0)</f>
        <v>44698</v>
      </c>
      <c r="O278" s="8">
        <f t="shared" si="10"/>
        <v>44696</v>
      </c>
      <c r="P278" s="8">
        <f t="shared" si="11"/>
        <v>44713</v>
      </c>
    </row>
    <row r="279" spans="1:16" ht="15" x14ac:dyDescent="0.25">
      <c r="A279" s="2" t="s">
        <v>305</v>
      </c>
      <c r="B279" s="2" t="s">
        <v>29</v>
      </c>
      <c r="C279" s="3" t="str">
        <f>VLOOKUP(B279,Dados!$A$3:$B$10,2,FALSE)</f>
        <v>Time 2</v>
      </c>
      <c r="D279" s="2" t="s">
        <v>22</v>
      </c>
      <c r="E279" s="2" t="s">
        <v>19</v>
      </c>
      <c r="F279" s="4">
        <v>93774912750</v>
      </c>
      <c r="G279" s="5" t="str">
        <f t="shared" si="6"/>
        <v>93774912750</v>
      </c>
      <c r="H279" s="6">
        <v>8424</v>
      </c>
      <c r="I279" s="6">
        <v>0</v>
      </c>
      <c r="J279" s="7">
        <f t="shared" si="7"/>
        <v>8424</v>
      </c>
      <c r="K279" s="7">
        <f t="shared" si="8"/>
        <v>2527.1999999999998</v>
      </c>
      <c r="L279" s="7">
        <f t="shared" si="9"/>
        <v>1</v>
      </c>
      <c r="M279" s="7">
        <f>IFERROR(VLOOKUP(G279,'Base de faturamento'!A:C,2,FALSE),0)</f>
        <v>8424</v>
      </c>
      <c r="N279" s="8">
        <f>IFERROR(VLOOKUP(G279,'Base de faturamento'!A:C,3,FALSE),0)</f>
        <v>44639</v>
      </c>
      <c r="O279" s="8">
        <f t="shared" si="10"/>
        <v>44652</v>
      </c>
      <c r="P279" s="8">
        <f t="shared" si="11"/>
        <v>44652</v>
      </c>
    </row>
    <row r="280" spans="1:16" ht="15" x14ac:dyDescent="0.25">
      <c r="A280" s="2" t="s">
        <v>306</v>
      </c>
      <c r="B280" s="2" t="s">
        <v>21</v>
      </c>
      <c r="C280" s="3" t="str">
        <f>VLOOKUP(B280,Dados!$A$3:$B$10,2,FALSE)</f>
        <v>Time 1</v>
      </c>
      <c r="D280" s="2" t="s">
        <v>18</v>
      </c>
      <c r="E280" s="2" t="s">
        <v>19</v>
      </c>
      <c r="F280" s="4">
        <v>93935611923</v>
      </c>
      <c r="G280" s="5" t="str">
        <f t="shared" si="6"/>
        <v>93935611923</v>
      </c>
      <c r="H280" s="6">
        <v>9344</v>
      </c>
      <c r="I280" s="6">
        <v>0</v>
      </c>
      <c r="J280" s="7">
        <f t="shared" si="7"/>
        <v>9344</v>
      </c>
      <c r="K280" s="7">
        <f t="shared" si="8"/>
        <v>1868.8000000000002</v>
      </c>
      <c r="L280" s="7">
        <f t="shared" si="9"/>
        <v>1</v>
      </c>
      <c r="M280" s="7">
        <f>IFERROR(VLOOKUP(G280,'Base de faturamento'!A:C,2,FALSE),0)</f>
        <v>9344</v>
      </c>
      <c r="N280" s="8">
        <f>IFERROR(VLOOKUP(G280,'Base de faturamento'!A:C,3,FALSE),0)</f>
        <v>44669</v>
      </c>
      <c r="O280" s="8">
        <f t="shared" si="10"/>
        <v>44666</v>
      </c>
      <c r="P280" s="8">
        <f t="shared" si="11"/>
        <v>44682</v>
      </c>
    </row>
    <row r="281" spans="1:16" ht="15" x14ac:dyDescent="0.25">
      <c r="A281" s="2" t="s">
        <v>307</v>
      </c>
      <c r="B281" s="2" t="s">
        <v>29</v>
      </c>
      <c r="C281" s="3" t="str">
        <f>VLOOKUP(B281,Dados!$A$3:$B$10,2,FALSE)</f>
        <v>Time 2</v>
      </c>
      <c r="D281" s="2" t="s">
        <v>22</v>
      </c>
      <c r="E281" s="2" t="s">
        <v>25</v>
      </c>
      <c r="F281" s="4">
        <v>94180878908</v>
      </c>
      <c r="G281" s="5" t="str">
        <f t="shared" si="6"/>
        <v>94180878908</v>
      </c>
      <c r="H281" s="6">
        <v>7649</v>
      </c>
      <c r="I281" s="6">
        <v>4485</v>
      </c>
      <c r="J281" s="7">
        <f t="shared" si="7"/>
        <v>3164</v>
      </c>
      <c r="K281" s="7">
        <f t="shared" si="8"/>
        <v>949.19999999999993</v>
      </c>
      <c r="L281" s="7">
        <f t="shared" si="9"/>
        <v>1</v>
      </c>
      <c r="M281" s="7">
        <f>IFERROR(VLOOKUP(G281,'Base de faturamento'!A:C,2,FALSE),0)</f>
        <v>7649</v>
      </c>
      <c r="N281" s="8">
        <f>IFERROR(VLOOKUP(G281,'Base de faturamento'!A:C,3,FALSE),0)</f>
        <v>44623</v>
      </c>
      <c r="O281" s="8">
        <f t="shared" si="10"/>
        <v>44652</v>
      </c>
      <c r="P281" s="8">
        <f t="shared" si="11"/>
        <v>44652</v>
      </c>
    </row>
    <row r="282" spans="1:16" ht="15" x14ac:dyDescent="0.25">
      <c r="A282" s="2" t="s">
        <v>308</v>
      </c>
      <c r="B282" s="2" t="s">
        <v>27</v>
      </c>
      <c r="C282" s="3" t="str">
        <f>VLOOKUP(B282,Dados!$A$3:$B$10,2,FALSE)</f>
        <v>Time 2</v>
      </c>
      <c r="D282" s="2" t="s">
        <v>18</v>
      </c>
      <c r="E282" s="2" t="s">
        <v>19</v>
      </c>
      <c r="F282" s="4">
        <v>95039577120</v>
      </c>
      <c r="G282" s="5" t="str">
        <f t="shared" si="6"/>
        <v>95039577120</v>
      </c>
      <c r="H282" s="6">
        <v>4527</v>
      </c>
      <c r="I282" s="6">
        <v>0</v>
      </c>
      <c r="J282" s="7">
        <f t="shared" si="7"/>
        <v>4527</v>
      </c>
      <c r="K282" s="7">
        <f t="shared" si="8"/>
        <v>905.40000000000009</v>
      </c>
      <c r="L282" s="7">
        <f t="shared" si="9"/>
        <v>1</v>
      </c>
      <c r="M282" s="7">
        <f>IFERROR(VLOOKUP(G282,'Base de faturamento'!A:C,2,FALSE),0)</f>
        <v>4527</v>
      </c>
      <c r="N282" s="8">
        <f>IFERROR(VLOOKUP(G282,'Base de faturamento'!A:C,3,FALSE),0)</f>
        <v>44692</v>
      </c>
      <c r="O282" s="8">
        <f t="shared" si="10"/>
        <v>44713</v>
      </c>
      <c r="P282" s="8">
        <f t="shared" si="11"/>
        <v>44713</v>
      </c>
    </row>
    <row r="283" spans="1:16" ht="15" x14ac:dyDescent="0.25">
      <c r="A283" s="2" t="s">
        <v>309</v>
      </c>
      <c r="B283" s="2" t="s">
        <v>29</v>
      </c>
      <c r="C283" s="3" t="str">
        <f>VLOOKUP(B283,Dados!$A$3:$B$10,2,FALSE)</f>
        <v>Time 2</v>
      </c>
      <c r="D283" s="2" t="s">
        <v>18</v>
      </c>
      <c r="E283" s="2" t="s">
        <v>25</v>
      </c>
      <c r="F283" s="4">
        <v>95830782450</v>
      </c>
      <c r="G283" s="5" t="str">
        <f t="shared" si="6"/>
        <v>95830782450</v>
      </c>
      <c r="H283" s="6">
        <v>5162</v>
      </c>
      <c r="I283" s="6">
        <v>2293</v>
      </c>
      <c r="J283" s="7">
        <f t="shared" si="7"/>
        <v>2869</v>
      </c>
      <c r="K283" s="7">
        <f t="shared" si="8"/>
        <v>573.80000000000007</v>
      </c>
      <c r="L283" s="7">
        <f t="shared" si="9"/>
        <v>1</v>
      </c>
      <c r="M283" s="7">
        <f>IFERROR(VLOOKUP(G283,'Base de faturamento'!A:C,2,FALSE),0)</f>
        <v>5162</v>
      </c>
      <c r="N283" s="8">
        <f>IFERROR(VLOOKUP(G283,'Base de faturamento'!A:C,3,FALSE),0)</f>
        <v>44633</v>
      </c>
      <c r="O283" s="8">
        <f t="shared" si="10"/>
        <v>44652</v>
      </c>
      <c r="P283" s="8">
        <f t="shared" si="11"/>
        <v>44652</v>
      </c>
    </row>
    <row r="284" spans="1:16" ht="15" x14ac:dyDescent="0.25">
      <c r="A284" s="2" t="s">
        <v>310</v>
      </c>
      <c r="B284" s="2" t="s">
        <v>24</v>
      </c>
      <c r="C284" s="3" t="str">
        <f>VLOOKUP(B284,Dados!$A$3:$B$10,2,FALSE)</f>
        <v>Time 2</v>
      </c>
      <c r="D284" s="2" t="s">
        <v>22</v>
      </c>
      <c r="E284" s="2" t="s">
        <v>19</v>
      </c>
      <c r="F284" s="4">
        <v>95853986923</v>
      </c>
      <c r="G284" s="5" t="str">
        <f t="shared" si="6"/>
        <v>95853986923</v>
      </c>
      <c r="H284" s="6">
        <v>4278</v>
      </c>
      <c r="I284" s="6">
        <v>0</v>
      </c>
      <c r="J284" s="7">
        <f t="shared" si="7"/>
        <v>4278</v>
      </c>
      <c r="K284" s="7">
        <f t="shared" si="8"/>
        <v>1283.3999999999999</v>
      </c>
      <c r="L284" s="7">
        <f t="shared" si="9"/>
        <v>1</v>
      </c>
      <c r="M284" s="7">
        <f>IFERROR(VLOOKUP(G284,'Base de faturamento'!A:C,2,FALSE),0)</f>
        <v>4278</v>
      </c>
      <c r="N284" s="8">
        <f>IFERROR(VLOOKUP(G284,'Base de faturamento'!A:C,3,FALSE),0)</f>
        <v>44667</v>
      </c>
      <c r="O284" s="8">
        <f t="shared" si="10"/>
        <v>44682</v>
      </c>
      <c r="P284" s="8">
        <f t="shared" si="11"/>
        <v>44682</v>
      </c>
    </row>
    <row r="285" spans="1:16" ht="15" x14ac:dyDescent="0.25">
      <c r="A285" s="2" t="s">
        <v>311</v>
      </c>
      <c r="B285" s="2" t="s">
        <v>21</v>
      </c>
      <c r="C285" s="3" t="str">
        <f>VLOOKUP(B285,Dados!$A$3:$B$10,2,FALSE)</f>
        <v>Time 1</v>
      </c>
      <c r="D285" s="2" t="s">
        <v>18</v>
      </c>
      <c r="E285" s="2" t="s">
        <v>19</v>
      </c>
      <c r="F285" s="4">
        <v>95944777286</v>
      </c>
      <c r="G285" s="5" t="str">
        <f t="shared" si="6"/>
        <v>95944777286</v>
      </c>
      <c r="H285" s="6">
        <v>5820</v>
      </c>
      <c r="I285" s="6">
        <v>0</v>
      </c>
      <c r="J285" s="7">
        <f t="shared" si="7"/>
        <v>5820</v>
      </c>
      <c r="K285" s="7">
        <f t="shared" si="8"/>
        <v>1164</v>
      </c>
      <c r="L285" s="7">
        <f t="shared" si="9"/>
        <v>1</v>
      </c>
      <c r="M285" s="7">
        <f>IFERROR(VLOOKUP(G285,'Base de faturamento'!A:C,2,FALSE),0)</f>
        <v>5820</v>
      </c>
      <c r="N285" s="8">
        <f>IFERROR(VLOOKUP(G285,'Base de faturamento'!A:C,3,FALSE),0)</f>
        <v>44707</v>
      </c>
      <c r="O285" s="8">
        <f t="shared" si="10"/>
        <v>44696</v>
      </c>
      <c r="P285" s="8">
        <f t="shared" si="11"/>
        <v>44713</v>
      </c>
    </row>
    <row r="286" spans="1:16" ht="15" x14ac:dyDescent="0.25">
      <c r="A286" s="2" t="s">
        <v>312</v>
      </c>
      <c r="B286" s="2" t="s">
        <v>21</v>
      </c>
      <c r="C286" s="3" t="str">
        <f>VLOOKUP(B286,Dados!$A$3:$B$10,2,FALSE)</f>
        <v>Time 1</v>
      </c>
      <c r="D286" s="2" t="s">
        <v>22</v>
      </c>
      <c r="E286" s="2" t="s">
        <v>19</v>
      </c>
      <c r="F286" s="4">
        <v>96683700678</v>
      </c>
      <c r="G286" s="5" t="str">
        <f t="shared" si="6"/>
        <v>96683700678</v>
      </c>
      <c r="H286" s="6">
        <v>9153</v>
      </c>
      <c r="I286" s="6">
        <v>0</v>
      </c>
      <c r="J286" s="7">
        <f t="shared" si="7"/>
        <v>9153</v>
      </c>
      <c r="K286" s="7">
        <f t="shared" si="8"/>
        <v>2745.9</v>
      </c>
      <c r="L286" s="7">
        <f t="shared" si="9"/>
        <v>1</v>
      </c>
      <c r="M286" s="7">
        <f>IFERROR(VLOOKUP(G286,'Base de faturamento'!A:C,2,FALSE),0)</f>
        <v>9153</v>
      </c>
      <c r="N286" s="8">
        <f>IFERROR(VLOOKUP(G286,'Base de faturamento'!A:C,3,FALSE),0)</f>
        <v>44668</v>
      </c>
      <c r="O286" s="8">
        <f t="shared" si="10"/>
        <v>44666</v>
      </c>
      <c r="P286" s="8">
        <f t="shared" si="11"/>
        <v>44682</v>
      </c>
    </row>
    <row r="287" spans="1:16" ht="15" x14ac:dyDescent="0.25">
      <c r="A287" s="2" t="s">
        <v>313</v>
      </c>
      <c r="B287" s="2" t="s">
        <v>24</v>
      </c>
      <c r="C287" s="3" t="str">
        <f>VLOOKUP(B287,Dados!$A$3:$B$10,2,FALSE)</f>
        <v>Time 2</v>
      </c>
      <c r="D287" s="2" t="s">
        <v>18</v>
      </c>
      <c r="E287" s="2" t="s">
        <v>19</v>
      </c>
      <c r="F287" s="4">
        <v>97561062644</v>
      </c>
      <c r="G287" s="5" t="str">
        <f t="shared" si="6"/>
        <v>97561062644</v>
      </c>
      <c r="H287" s="6">
        <v>4554</v>
      </c>
      <c r="I287" s="6">
        <v>0</v>
      </c>
      <c r="J287" s="7">
        <f t="shared" si="7"/>
        <v>4554</v>
      </c>
      <c r="K287" s="7">
        <f t="shared" si="8"/>
        <v>910.80000000000007</v>
      </c>
      <c r="L287" s="7">
        <f t="shared" si="9"/>
        <v>1</v>
      </c>
      <c r="M287" s="7">
        <f>IFERROR(VLOOKUP(G287,'Base de faturamento'!A:C,2,FALSE),0)</f>
        <v>4554</v>
      </c>
      <c r="N287" s="8">
        <f>IFERROR(VLOOKUP(G287,'Base de faturamento'!A:C,3,FALSE),0)</f>
        <v>44717</v>
      </c>
      <c r="O287" s="8">
        <f t="shared" si="10"/>
        <v>44743</v>
      </c>
      <c r="P287" s="8">
        <f t="shared" si="11"/>
        <v>44743</v>
      </c>
    </row>
    <row r="288" spans="1:16" ht="15" x14ac:dyDescent="0.25">
      <c r="A288" s="2" t="s">
        <v>314</v>
      </c>
      <c r="B288" s="2" t="s">
        <v>27</v>
      </c>
      <c r="C288" s="3" t="str">
        <f>VLOOKUP(B288,Dados!$A$3:$B$10,2,FALSE)</f>
        <v>Time 2</v>
      </c>
      <c r="D288" s="2" t="s">
        <v>22</v>
      </c>
      <c r="E288" s="2" t="s">
        <v>19</v>
      </c>
      <c r="F288" s="4">
        <v>97595559778</v>
      </c>
      <c r="G288" s="5" t="str">
        <f t="shared" si="6"/>
        <v>97595559778</v>
      </c>
      <c r="H288" s="6">
        <v>1477</v>
      </c>
      <c r="I288" s="6">
        <v>0</v>
      </c>
      <c r="J288" s="7">
        <f t="shared" si="7"/>
        <v>1477</v>
      </c>
      <c r="K288" s="7">
        <f t="shared" si="8"/>
        <v>443.09999999999997</v>
      </c>
      <c r="L288" s="7">
        <f t="shared" si="9"/>
        <v>1</v>
      </c>
      <c r="M288" s="7">
        <f>IFERROR(VLOOKUP(G288,'Base de faturamento'!A:C,2,FALSE),0)</f>
        <v>1477</v>
      </c>
      <c r="N288" s="8">
        <f>IFERROR(VLOOKUP(G288,'Base de faturamento'!A:C,3,FALSE),0)</f>
        <v>44711</v>
      </c>
      <c r="O288" s="8">
        <f t="shared" si="10"/>
        <v>44713</v>
      </c>
      <c r="P288" s="8">
        <f t="shared" si="11"/>
        <v>44713</v>
      </c>
    </row>
    <row r="289" spans="1:16" ht="15" x14ac:dyDescent="0.25">
      <c r="A289" s="2" t="s">
        <v>315</v>
      </c>
      <c r="B289" s="2" t="s">
        <v>24</v>
      </c>
      <c r="C289" s="3" t="str">
        <f>VLOOKUP(B289,Dados!$A$3:$B$10,2,FALSE)</f>
        <v>Time 2</v>
      </c>
      <c r="D289" s="2" t="s">
        <v>18</v>
      </c>
      <c r="E289" s="2" t="s">
        <v>19</v>
      </c>
      <c r="F289" s="4">
        <v>97620619297</v>
      </c>
      <c r="G289" s="5" t="str">
        <f t="shared" si="6"/>
        <v>97620619297</v>
      </c>
      <c r="H289" s="6">
        <v>9359</v>
      </c>
      <c r="I289" s="6">
        <v>0</v>
      </c>
      <c r="J289" s="7">
        <f t="shared" si="7"/>
        <v>9359</v>
      </c>
      <c r="K289" s="7">
        <f t="shared" si="8"/>
        <v>1871.8000000000002</v>
      </c>
      <c r="L289" s="7">
        <f t="shared" si="9"/>
        <v>1</v>
      </c>
      <c r="M289" s="7">
        <f>IFERROR(VLOOKUP(G289,'Base de faturamento'!A:C,2,FALSE),0)</f>
        <v>9359</v>
      </c>
      <c r="N289" s="8">
        <f>IFERROR(VLOOKUP(G289,'Base de faturamento'!A:C,3,FALSE),0)</f>
        <v>44709</v>
      </c>
      <c r="O289" s="8">
        <f t="shared" si="10"/>
        <v>44713</v>
      </c>
      <c r="P289" s="8">
        <f t="shared" si="11"/>
        <v>44713</v>
      </c>
    </row>
    <row r="290" spans="1:16" ht="15" x14ac:dyDescent="0.25">
      <c r="A290" s="2" t="s">
        <v>316</v>
      </c>
      <c r="B290" s="2" t="s">
        <v>36</v>
      </c>
      <c r="C290" s="3" t="str">
        <f>VLOOKUP(B290,Dados!$A$3:$B$10,2,FALSE)</f>
        <v>Time 1</v>
      </c>
      <c r="D290" s="2" t="s">
        <v>18</v>
      </c>
      <c r="E290" s="2" t="s">
        <v>25</v>
      </c>
      <c r="F290" s="4">
        <v>97686845004</v>
      </c>
      <c r="G290" s="5" t="str">
        <f t="shared" si="6"/>
        <v>97686845004</v>
      </c>
      <c r="H290" s="6">
        <v>9647</v>
      </c>
      <c r="I290" s="6">
        <v>3316</v>
      </c>
      <c r="J290" s="7">
        <f t="shared" si="7"/>
        <v>6331</v>
      </c>
      <c r="K290" s="7">
        <f t="shared" si="8"/>
        <v>1266.2</v>
      </c>
      <c r="L290" s="7">
        <f t="shared" si="9"/>
        <v>1</v>
      </c>
      <c r="M290" s="7">
        <f>IFERROR(VLOOKUP(G290,'Base de faturamento'!A:C,2,FALSE),0)</f>
        <v>9647</v>
      </c>
      <c r="N290" s="8">
        <f>IFERROR(VLOOKUP(G290,'Base de faturamento'!A:C,3,FALSE),0)</f>
        <v>44693</v>
      </c>
      <c r="O290" s="8">
        <f t="shared" si="10"/>
        <v>44696</v>
      </c>
      <c r="P290" s="8">
        <f t="shared" si="11"/>
        <v>44713</v>
      </c>
    </row>
    <row r="291" spans="1:16" ht="15" x14ac:dyDescent="0.25">
      <c r="A291" s="2" t="s">
        <v>317</v>
      </c>
      <c r="B291" s="2" t="s">
        <v>27</v>
      </c>
      <c r="C291" s="3" t="str">
        <f>VLOOKUP(B291,Dados!$A$3:$B$10,2,FALSE)</f>
        <v>Time 2</v>
      </c>
      <c r="D291" s="2" t="s">
        <v>18</v>
      </c>
      <c r="E291" s="2" t="s">
        <v>25</v>
      </c>
      <c r="F291" s="4">
        <v>98282076573</v>
      </c>
      <c r="G291" s="5" t="str">
        <f t="shared" si="6"/>
        <v>98282076573</v>
      </c>
      <c r="H291" s="6">
        <v>3575</v>
      </c>
      <c r="I291" s="6">
        <v>2762</v>
      </c>
      <c r="J291" s="7">
        <f t="shared" si="7"/>
        <v>813</v>
      </c>
      <c r="K291" s="7">
        <f t="shared" si="8"/>
        <v>162.60000000000002</v>
      </c>
      <c r="L291" s="7">
        <f t="shared" si="9"/>
        <v>1</v>
      </c>
      <c r="M291" s="7">
        <f>IFERROR(VLOOKUP(G291,'Base de faturamento'!A:C,2,FALSE),0)</f>
        <v>3575</v>
      </c>
      <c r="N291" s="8">
        <f>IFERROR(VLOOKUP(G291,'Base de faturamento'!A:C,3,FALSE),0)</f>
        <v>44651</v>
      </c>
      <c r="O291" s="8">
        <f t="shared" si="10"/>
        <v>44652</v>
      </c>
      <c r="P291" s="8">
        <f t="shared" si="11"/>
        <v>44652</v>
      </c>
    </row>
    <row r="292" spans="1:16" ht="15" x14ac:dyDescent="0.25">
      <c r="A292" s="2" t="s">
        <v>318</v>
      </c>
      <c r="B292" s="2" t="s">
        <v>27</v>
      </c>
      <c r="C292" s="3" t="str">
        <f>VLOOKUP(B292,Dados!$A$3:$B$10,2,FALSE)</f>
        <v>Time 2</v>
      </c>
      <c r="D292" s="2" t="s">
        <v>18</v>
      </c>
      <c r="E292" s="2" t="s">
        <v>25</v>
      </c>
      <c r="F292" s="4">
        <v>99194980755</v>
      </c>
      <c r="G292" s="5" t="str">
        <f t="shared" si="6"/>
        <v>99194980755</v>
      </c>
      <c r="H292" s="6">
        <v>8845</v>
      </c>
      <c r="I292" s="6">
        <v>2846</v>
      </c>
      <c r="J292" s="7">
        <f t="shared" si="7"/>
        <v>5999</v>
      </c>
      <c r="K292" s="7">
        <f t="shared" si="8"/>
        <v>1199.8</v>
      </c>
      <c r="L292" s="7">
        <f t="shared" si="9"/>
        <v>1</v>
      </c>
      <c r="M292" s="7">
        <f>IFERROR(VLOOKUP(G292,'Base de faturamento'!A:C,2,FALSE),0)</f>
        <v>8845</v>
      </c>
      <c r="N292" s="8">
        <f>IFERROR(VLOOKUP(G292,'Base de faturamento'!A:C,3,FALSE),0)</f>
        <v>44657</v>
      </c>
      <c r="O292" s="8">
        <f t="shared" si="10"/>
        <v>44682</v>
      </c>
      <c r="P292" s="8">
        <f t="shared" si="11"/>
        <v>44682</v>
      </c>
    </row>
    <row r="293" spans="1:16" ht="15" x14ac:dyDescent="0.25">
      <c r="A293" s="2" t="s">
        <v>319</v>
      </c>
      <c r="B293" s="2" t="s">
        <v>29</v>
      </c>
      <c r="C293" s="3" t="str">
        <f>VLOOKUP(B293,Dados!$A$3:$B$10,2,FALSE)</f>
        <v>Time 2</v>
      </c>
      <c r="D293" s="2" t="s">
        <v>22</v>
      </c>
      <c r="E293" s="2" t="s">
        <v>19</v>
      </c>
      <c r="F293" s="4">
        <v>99651843458</v>
      </c>
      <c r="G293" s="5" t="str">
        <f t="shared" si="6"/>
        <v>99651843458</v>
      </c>
      <c r="H293" s="6">
        <v>1972</v>
      </c>
      <c r="I293" s="6">
        <v>0</v>
      </c>
      <c r="J293" s="7">
        <f t="shared" si="7"/>
        <v>1972</v>
      </c>
      <c r="K293" s="7">
        <f t="shared" si="8"/>
        <v>591.6</v>
      </c>
      <c r="L293" s="7">
        <f t="shared" si="9"/>
        <v>1</v>
      </c>
      <c r="M293" s="7">
        <f>IFERROR(VLOOKUP(G293,'Base de faturamento'!A:C,2,FALSE),0)</f>
        <v>1972</v>
      </c>
      <c r="N293" s="8">
        <f>IFERROR(VLOOKUP(G293,'Base de faturamento'!A:C,3,FALSE),0)</f>
        <v>44681</v>
      </c>
      <c r="O293" s="8">
        <f t="shared" si="10"/>
        <v>44682</v>
      </c>
      <c r="P293" s="8">
        <f t="shared" si="11"/>
        <v>44682</v>
      </c>
    </row>
    <row r="294" spans="1:16" ht="15" x14ac:dyDescent="0.25">
      <c r="A294" s="2" t="s">
        <v>320</v>
      </c>
      <c r="B294" s="2" t="s">
        <v>27</v>
      </c>
      <c r="C294" s="3" t="str">
        <f>VLOOKUP(B294,Dados!$A$3:$B$10,2,FALSE)</f>
        <v>Time 2</v>
      </c>
      <c r="D294" s="2" t="s">
        <v>22</v>
      </c>
      <c r="E294" s="2" t="s">
        <v>19</v>
      </c>
      <c r="F294" s="4">
        <v>99831403728</v>
      </c>
      <c r="G294" s="5" t="str">
        <f t="shared" si="6"/>
        <v>99831403728</v>
      </c>
      <c r="H294" s="6">
        <v>7851</v>
      </c>
      <c r="I294" s="6">
        <v>0</v>
      </c>
      <c r="J294" s="7">
        <f t="shared" si="7"/>
        <v>7851</v>
      </c>
      <c r="K294" s="7">
        <f t="shared" si="8"/>
        <v>2355.2999999999997</v>
      </c>
      <c r="L294" s="7">
        <f t="shared" si="9"/>
        <v>1</v>
      </c>
      <c r="M294" s="7">
        <f>IFERROR(VLOOKUP(G294,'Base de faturamento'!A:C,2,FALSE),0)</f>
        <v>7851</v>
      </c>
      <c r="N294" s="8">
        <f>IFERROR(VLOOKUP(G294,'Base de faturamento'!A:C,3,FALSE),0)</f>
        <v>44691</v>
      </c>
      <c r="O294" s="8">
        <f t="shared" si="10"/>
        <v>44713</v>
      </c>
      <c r="P294" s="8">
        <f t="shared" si="11"/>
        <v>44713</v>
      </c>
    </row>
    <row r="295" spans="1:16" ht="15" x14ac:dyDescent="0.25">
      <c r="A295" s="2" t="s">
        <v>321</v>
      </c>
      <c r="B295" s="2" t="s">
        <v>36</v>
      </c>
      <c r="C295" s="3" t="str">
        <f>VLOOKUP(B295,Dados!$A$3:$B$10,2,FALSE)</f>
        <v>Time 1</v>
      </c>
      <c r="D295" s="2" t="s">
        <v>18</v>
      </c>
      <c r="E295" s="2" t="s">
        <v>25</v>
      </c>
      <c r="F295" s="4" t="s">
        <v>322</v>
      </c>
      <c r="G295" s="5" t="str">
        <f t="shared" si="6"/>
        <v>10035178480</v>
      </c>
      <c r="H295" s="6">
        <v>1266</v>
      </c>
      <c r="I295" s="6">
        <v>5925</v>
      </c>
      <c r="J295" s="7">
        <f t="shared" si="7"/>
        <v>0</v>
      </c>
      <c r="K295" s="7">
        <f t="shared" si="8"/>
        <v>0</v>
      </c>
      <c r="L295" s="7">
        <f t="shared" si="9"/>
        <v>1</v>
      </c>
      <c r="M295" s="7">
        <f>IFERROR(VLOOKUP(G295,'Base de faturamento'!A:C,2,FALSE),0)</f>
        <v>1266</v>
      </c>
      <c r="N295" s="8">
        <f>IFERROR(VLOOKUP(G295,'Base de faturamento'!A:C,3,FALSE),0)</f>
        <v>44684</v>
      </c>
      <c r="O295" s="8">
        <f t="shared" si="10"/>
        <v>44696</v>
      </c>
      <c r="P295" s="8">
        <f t="shared" si="11"/>
        <v>44713</v>
      </c>
    </row>
    <row r="296" spans="1:16" ht="15" x14ac:dyDescent="0.25">
      <c r="A296" s="2" t="s">
        <v>323</v>
      </c>
      <c r="B296" s="2" t="s">
        <v>21</v>
      </c>
      <c r="C296" s="3" t="str">
        <f>VLOOKUP(B296,Dados!$A$3:$B$10,2,FALSE)</f>
        <v>Time 1</v>
      </c>
      <c r="D296" s="2" t="s">
        <v>18</v>
      </c>
      <c r="E296" s="2" t="s">
        <v>25</v>
      </c>
      <c r="F296" s="4" t="s">
        <v>324</v>
      </c>
      <c r="G296" s="5" t="str">
        <f t="shared" si="6"/>
        <v>10068099127</v>
      </c>
      <c r="H296" s="6">
        <v>7830</v>
      </c>
      <c r="I296" s="6">
        <v>8743</v>
      </c>
      <c r="J296" s="7">
        <f t="shared" si="7"/>
        <v>0</v>
      </c>
      <c r="K296" s="7">
        <f t="shared" si="8"/>
        <v>0</v>
      </c>
      <c r="L296" s="7">
        <f t="shared" si="9"/>
        <v>1</v>
      </c>
      <c r="M296" s="7">
        <f>IFERROR(VLOOKUP(G296,'Base de faturamento'!A:C,2,FALSE),0)</f>
        <v>7830</v>
      </c>
      <c r="N296" s="8">
        <f>IFERROR(VLOOKUP(G296,'Base de faturamento'!A:C,3,FALSE),0)</f>
        <v>44663</v>
      </c>
      <c r="O296" s="8">
        <f t="shared" si="10"/>
        <v>44666</v>
      </c>
      <c r="P296" s="8">
        <f t="shared" si="11"/>
        <v>44682</v>
      </c>
    </row>
    <row r="297" spans="1:16" ht="15" x14ac:dyDescent="0.25">
      <c r="A297" s="2" t="s">
        <v>325</v>
      </c>
      <c r="B297" s="2" t="s">
        <v>27</v>
      </c>
      <c r="C297" s="3" t="str">
        <f>VLOOKUP(B297,Dados!$A$3:$B$10,2,FALSE)</f>
        <v>Time 2</v>
      </c>
      <c r="D297" s="2" t="s">
        <v>18</v>
      </c>
      <c r="E297" s="2" t="s">
        <v>25</v>
      </c>
      <c r="F297" s="4" t="s">
        <v>326</v>
      </c>
      <c r="G297" s="5" t="str">
        <f t="shared" si="6"/>
        <v>10347093528</v>
      </c>
      <c r="H297" s="6">
        <v>4522</v>
      </c>
      <c r="I297" s="6">
        <v>7001</v>
      </c>
      <c r="J297" s="7">
        <f t="shared" si="7"/>
        <v>0</v>
      </c>
      <c r="K297" s="7">
        <f t="shared" si="8"/>
        <v>0</v>
      </c>
      <c r="L297" s="7">
        <f t="shared" si="9"/>
        <v>1</v>
      </c>
      <c r="M297" s="7">
        <f>IFERROR(VLOOKUP(G297,'Base de faturamento'!A:C,2,FALSE),0)</f>
        <v>4522</v>
      </c>
      <c r="N297" s="8">
        <f>IFERROR(VLOOKUP(G297,'Base de faturamento'!A:C,3,FALSE),0)</f>
        <v>44737</v>
      </c>
      <c r="O297" s="8">
        <f t="shared" si="10"/>
        <v>44743</v>
      </c>
      <c r="P297" s="8">
        <f t="shared" si="11"/>
        <v>44743</v>
      </c>
    </row>
    <row r="298" spans="1:16" ht="15" x14ac:dyDescent="0.25">
      <c r="A298" s="2" t="s">
        <v>327</v>
      </c>
      <c r="B298" s="2" t="s">
        <v>17</v>
      </c>
      <c r="C298" s="3" t="str">
        <f>VLOOKUP(B298,Dados!$A$3:$B$10,2,FALSE)</f>
        <v>Time 3</v>
      </c>
      <c r="D298" s="2" t="s">
        <v>22</v>
      </c>
      <c r="E298" s="2" t="s">
        <v>19</v>
      </c>
      <c r="F298" s="4" t="s">
        <v>328</v>
      </c>
      <c r="G298" s="5" t="str">
        <f t="shared" si="6"/>
        <v>10909770965</v>
      </c>
      <c r="H298" s="6">
        <v>9182</v>
      </c>
      <c r="I298" s="6">
        <v>0</v>
      </c>
      <c r="J298" s="7">
        <f t="shared" si="7"/>
        <v>9182</v>
      </c>
      <c r="K298" s="7">
        <f t="shared" si="8"/>
        <v>2754.6</v>
      </c>
      <c r="L298" s="7">
        <f t="shared" si="9"/>
        <v>1</v>
      </c>
      <c r="M298" s="7">
        <f>IFERROR(VLOOKUP(G298,'Base de faturamento'!A:C,2,FALSE),0)</f>
        <v>9182</v>
      </c>
      <c r="N298" s="8">
        <f>IFERROR(VLOOKUP(G298,'Base de faturamento'!A:C,3,FALSE),0)</f>
        <v>44705</v>
      </c>
      <c r="O298" s="8">
        <f t="shared" si="10"/>
        <v>44713</v>
      </c>
      <c r="P298" s="8">
        <f t="shared" si="11"/>
        <v>44713</v>
      </c>
    </row>
    <row r="299" spans="1:16" ht="15" x14ac:dyDescent="0.25">
      <c r="A299" s="2" t="s">
        <v>329</v>
      </c>
      <c r="B299" s="2" t="s">
        <v>21</v>
      </c>
      <c r="C299" s="3" t="str">
        <f>VLOOKUP(B299,Dados!$A$3:$B$10,2,FALSE)</f>
        <v>Time 1</v>
      </c>
      <c r="D299" s="2" t="s">
        <v>22</v>
      </c>
      <c r="E299" s="2" t="s">
        <v>19</v>
      </c>
      <c r="F299" s="4" t="s">
        <v>330</v>
      </c>
      <c r="G299" s="5" t="str">
        <f t="shared" si="6"/>
        <v>11606374542</v>
      </c>
      <c r="H299" s="6">
        <v>8765</v>
      </c>
      <c r="I299" s="6">
        <v>0</v>
      </c>
      <c r="J299" s="7">
        <f t="shared" si="7"/>
        <v>8765</v>
      </c>
      <c r="K299" s="7">
        <f t="shared" si="8"/>
        <v>2629.5</v>
      </c>
      <c r="L299" s="7">
        <f t="shared" si="9"/>
        <v>1</v>
      </c>
      <c r="M299" s="7">
        <f>IFERROR(VLOOKUP(G299,'Base de faturamento'!A:C,2,FALSE),0)</f>
        <v>8765</v>
      </c>
      <c r="N299" s="8">
        <f>IFERROR(VLOOKUP(G299,'Base de faturamento'!A:C,3,FALSE),0)</f>
        <v>44710</v>
      </c>
      <c r="O299" s="8">
        <f t="shared" si="10"/>
        <v>44696</v>
      </c>
      <c r="P299" s="8">
        <f t="shared" si="11"/>
        <v>44713</v>
      </c>
    </row>
    <row r="300" spans="1:16" ht="15" x14ac:dyDescent="0.25">
      <c r="A300" s="2" t="s">
        <v>331</v>
      </c>
      <c r="B300" s="2" t="s">
        <v>17</v>
      </c>
      <c r="C300" s="3" t="str">
        <f>VLOOKUP(B300,Dados!$A$3:$B$10,2,FALSE)</f>
        <v>Time 3</v>
      </c>
      <c r="D300" s="2" t="s">
        <v>22</v>
      </c>
      <c r="E300" s="2" t="s">
        <v>19</v>
      </c>
      <c r="F300" s="4" t="s">
        <v>332</v>
      </c>
      <c r="G300" s="5" t="str">
        <f t="shared" si="6"/>
        <v>11920163299</v>
      </c>
      <c r="H300" s="6">
        <v>2661</v>
      </c>
      <c r="I300" s="6">
        <v>0</v>
      </c>
      <c r="J300" s="7">
        <f t="shared" si="7"/>
        <v>2661</v>
      </c>
      <c r="K300" s="7">
        <f t="shared" si="8"/>
        <v>798.3</v>
      </c>
      <c r="L300" s="7">
        <f t="shared" si="9"/>
        <v>1</v>
      </c>
      <c r="M300" s="7">
        <f>IFERROR(VLOOKUP(G300,'Base de faturamento'!A:C,2,FALSE),0)</f>
        <v>2661</v>
      </c>
      <c r="N300" s="8">
        <f>IFERROR(VLOOKUP(G300,'Base de faturamento'!A:C,3,FALSE),0)</f>
        <v>44692</v>
      </c>
      <c r="O300" s="8">
        <f t="shared" si="10"/>
        <v>44713</v>
      </c>
      <c r="P300" s="8">
        <f t="shared" si="11"/>
        <v>44713</v>
      </c>
    </row>
    <row r="301" spans="1:16" ht="15" x14ac:dyDescent="0.25">
      <c r="A301" s="2" t="s">
        <v>333</v>
      </c>
      <c r="B301" s="2" t="s">
        <v>21</v>
      </c>
      <c r="C301" s="3" t="str">
        <f>VLOOKUP(B301,Dados!$A$3:$B$10,2,FALSE)</f>
        <v>Time 1</v>
      </c>
      <c r="D301" s="2" t="s">
        <v>18</v>
      </c>
      <c r="E301" s="2" t="s">
        <v>19</v>
      </c>
      <c r="F301" s="4" t="s">
        <v>334</v>
      </c>
      <c r="G301" s="5" t="str">
        <f t="shared" si="6"/>
        <v>11994066271</v>
      </c>
      <c r="H301" s="6">
        <v>9922</v>
      </c>
      <c r="I301" s="6">
        <v>0</v>
      </c>
      <c r="J301" s="7">
        <f t="shared" si="7"/>
        <v>9922</v>
      </c>
      <c r="K301" s="7">
        <f t="shared" si="8"/>
        <v>1984.4</v>
      </c>
      <c r="L301" s="7">
        <f t="shared" si="9"/>
        <v>1</v>
      </c>
      <c r="M301" s="7">
        <f>IFERROR(VLOOKUP(G301,'Base de faturamento'!A:C,2,FALSE),0)</f>
        <v>9922</v>
      </c>
      <c r="N301" s="8">
        <f>IFERROR(VLOOKUP(G301,'Base de faturamento'!A:C,3,FALSE),0)</f>
        <v>44633</v>
      </c>
      <c r="O301" s="8">
        <f t="shared" si="10"/>
        <v>44635</v>
      </c>
      <c r="P301" s="8">
        <f t="shared" si="11"/>
        <v>44652</v>
      </c>
    </row>
    <row r="302" spans="1:16" ht="15" x14ac:dyDescent="0.25">
      <c r="A302" s="2" t="s">
        <v>335</v>
      </c>
      <c r="B302" s="2" t="s">
        <v>21</v>
      </c>
      <c r="C302" s="3" t="str">
        <f>VLOOKUP(B302,Dados!$A$3:$B$10,2,FALSE)</f>
        <v>Time 1</v>
      </c>
      <c r="D302" s="2" t="s">
        <v>22</v>
      </c>
      <c r="E302" s="2" t="s">
        <v>25</v>
      </c>
      <c r="F302" s="4" t="s">
        <v>336</v>
      </c>
      <c r="G302" s="5" t="str">
        <f t="shared" si="6"/>
        <v>12113219796</v>
      </c>
      <c r="H302" s="6">
        <v>6004</v>
      </c>
      <c r="I302" s="6">
        <v>3581</v>
      </c>
      <c r="J302" s="7">
        <f t="shared" si="7"/>
        <v>2423</v>
      </c>
      <c r="K302" s="7">
        <f t="shared" si="8"/>
        <v>726.9</v>
      </c>
      <c r="L302" s="7">
        <f t="shared" si="9"/>
        <v>1</v>
      </c>
      <c r="M302" s="7">
        <f>IFERROR(VLOOKUP(G302,'Base de faturamento'!A:C,2,FALSE),0)</f>
        <v>6004</v>
      </c>
      <c r="N302" s="8">
        <f>IFERROR(VLOOKUP(G302,'Base de faturamento'!A:C,3,FALSE),0)</f>
        <v>44655</v>
      </c>
      <c r="O302" s="8">
        <f t="shared" si="10"/>
        <v>44666</v>
      </c>
      <c r="P302" s="8">
        <f t="shared" si="11"/>
        <v>44682</v>
      </c>
    </row>
    <row r="303" spans="1:16" ht="15" x14ac:dyDescent="0.25">
      <c r="A303" s="2" t="s">
        <v>337</v>
      </c>
      <c r="B303" s="2" t="s">
        <v>29</v>
      </c>
      <c r="C303" s="3" t="str">
        <f>VLOOKUP(B303,Dados!$A$3:$B$10,2,FALSE)</f>
        <v>Time 2</v>
      </c>
      <c r="D303" s="2" t="s">
        <v>18</v>
      </c>
      <c r="E303" s="2" t="s">
        <v>25</v>
      </c>
      <c r="F303" s="4" t="s">
        <v>338</v>
      </c>
      <c r="G303" s="5" t="str">
        <f t="shared" si="6"/>
        <v>12123149485</v>
      </c>
      <c r="H303" s="6">
        <v>1580</v>
      </c>
      <c r="I303" s="6">
        <v>3070</v>
      </c>
      <c r="J303" s="7">
        <f t="shared" si="7"/>
        <v>0</v>
      </c>
      <c r="K303" s="7">
        <f t="shared" si="8"/>
        <v>0</v>
      </c>
      <c r="L303" s="7">
        <f t="shared" si="9"/>
        <v>1</v>
      </c>
      <c r="M303" s="7">
        <f>IFERROR(VLOOKUP(G303,'Base de faturamento'!A:C,2,FALSE),0)</f>
        <v>1580</v>
      </c>
      <c r="N303" s="8">
        <f>IFERROR(VLOOKUP(G303,'Base de faturamento'!A:C,3,FALSE),0)</f>
        <v>44709</v>
      </c>
      <c r="O303" s="8">
        <f t="shared" si="10"/>
        <v>44713</v>
      </c>
      <c r="P303" s="8">
        <f t="shared" si="11"/>
        <v>44713</v>
      </c>
    </row>
    <row r="304" spans="1:16" ht="15" x14ac:dyDescent="0.25">
      <c r="A304" s="2" t="s">
        <v>339</v>
      </c>
      <c r="B304" s="2" t="s">
        <v>33</v>
      </c>
      <c r="C304" s="3" t="str">
        <f>VLOOKUP(B304,Dados!$A$3:$B$10,2,FALSE)</f>
        <v>Time 1</v>
      </c>
      <c r="D304" s="2" t="s">
        <v>18</v>
      </c>
      <c r="E304" s="2" t="s">
        <v>25</v>
      </c>
      <c r="F304" s="4" t="s">
        <v>340</v>
      </c>
      <c r="G304" s="5" t="str">
        <f t="shared" si="6"/>
        <v>12706211588</v>
      </c>
      <c r="H304" s="6">
        <v>8414</v>
      </c>
      <c r="I304" s="6">
        <v>4655</v>
      </c>
      <c r="J304" s="7">
        <f t="shared" si="7"/>
        <v>3759</v>
      </c>
      <c r="K304" s="7">
        <f t="shared" si="8"/>
        <v>751.80000000000007</v>
      </c>
      <c r="L304" s="7">
        <f t="shared" si="9"/>
        <v>1</v>
      </c>
      <c r="M304" s="7">
        <f>IFERROR(VLOOKUP(G304,'Base de faturamento'!A:C,2,FALSE),0)</f>
        <v>8414</v>
      </c>
      <c r="N304" s="8">
        <f>IFERROR(VLOOKUP(G304,'Base de faturamento'!A:C,3,FALSE),0)</f>
        <v>44671</v>
      </c>
      <c r="O304" s="8">
        <f t="shared" si="10"/>
        <v>44666</v>
      </c>
      <c r="P304" s="8">
        <f t="shared" si="11"/>
        <v>44682</v>
      </c>
    </row>
    <row r="305" spans="1:16" ht="15" x14ac:dyDescent="0.25">
      <c r="A305" s="2" t="s">
        <v>341</v>
      </c>
      <c r="B305" s="2" t="s">
        <v>27</v>
      </c>
      <c r="C305" s="3" t="str">
        <f>VLOOKUP(B305,Dados!$A$3:$B$10,2,FALSE)</f>
        <v>Time 2</v>
      </c>
      <c r="D305" s="2" t="s">
        <v>18</v>
      </c>
      <c r="E305" s="2" t="s">
        <v>19</v>
      </c>
      <c r="F305" s="4" t="s">
        <v>342</v>
      </c>
      <c r="G305" s="5" t="str">
        <f t="shared" si="6"/>
        <v>12921411492</v>
      </c>
      <c r="H305" s="6">
        <v>3307</v>
      </c>
      <c r="I305" s="6">
        <v>0</v>
      </c>
      <c r="J305" s="7">
        <f t="shared" si="7"/>
        <v>3307</v>
      </c>
      <c r="K305" s="7">
        <f t="shared" si="8"/>
        <v>661.40000000000009</v>
      </c>
      <c r="L305" s="7">
        <f t="shared" si="9"/>
        <v>1</v>
      </c>
      <c r="M305" s="7">
        <f>IFERROR(VLOOKUP(G305,'Base de faturamento'!A:C,2,FALSE),0)</f>
        <v>3307</v>
      </c>
      <c r="N305" s="8">
        <f>IFERROR(VLOOKUP(G305,'Base de faturamento'!A:C,3,FALSE),0)</f>
        <v>44667</v>
      </c>
      <c r="O305" s="8">
        <f t="shared" si="10"/>
        <v>44682</v>
      </c>
      <c r="P305" s="8">
        <f t="shared" si="11"/>
        <v>44682</v>
      </c>
    </row>
    <row r="306" spans="1:16" ht="15" x14ac:dyDescent="0.25">
      <c r="A306" s="2" t="s">
        <v>343</v>
      </c>
      <c r="B306" s="2" t="s">
        <v>24</v>
      </c>
      <c r="C306" s="3" t="str">
        <f>VLOOKUP(B306,Dados!$A$3:$B$10,2,FALSE)</f>
        <v>Time 2</v>
      </c>
      <c r="D306" s="2" t="s">
        <v>18</v>
      </c>
      <c r="E306" s="2" t="s">
        <v>19</v>
      </c>
      <c r="F306" s="4" t="s">
        <v>344</v>
      </c>
      <c r="G306" s="5" t="str">
        <f t="shared" si="6"/>
        <v>13181529906</v>
      </c>
      <c r="H306" s="6">
        <v>8836</v>
      </c>
      <c r="I306" s="6">
        <v>0</v>
      </c>
      <c r="J306" s="7">
        <f t="shared" si="7"/>
        <v>8836</v>
      </c>
      <c r="K306" s="7">
        <f t="shared" si="8"/>
        <v>1767.2</v>
      </c>
      <c r="L306" s="7">
        <f t="shared" si="9"/>
        <v>1</v>
      </c>
      <c r="M306" s="7">
        <f>IFERROR(VLOOKUP(G306,'Base de faturamento'!A:C,2,FALSE),0)</f>
        <v>8836</v>
      </c>
      <c r="N306" s="8">
        <f>IFERROR(VLOOKUP(G306,'Base de faturamento'!A:C,3,FALSE),0)</f>
        <v>44736</v>
      </c>
      <c r="O306" s="8">
        <f t="shared" si="10"/>
        <v>44743</v>
      </c>
      <c r="P306" s="8">
        <f t="shared" si="11"/>
        <v>44743</v>
      </c>
    </row>
    <row r="307" spans="1:16" ht="15" x14ac:dyDescent="0.25">
      <c r="A307" s="2" t="s">
        <v>345</v>
      </c>
      <c r="B307" s="2" t="s">
        <v>33</v>
      </c>
      <c r="C307" s="3" t="str">
        <f>VLOOKUP(B307,Dados!$A$3:$B$10,2,FALSE)</f>
        <v>Time 1</v>
      </c>
      <c r="D307" s="2" t="s">
        <v>18</v>
      </c>
      <c r="E307" s="2" t="s">
        <v>25</v>
      </c>
      <c r="F307" s="4" t="s">
        <v>346</v>
      </c>
      <c r="G307" s="5" t="str">
        <f t="shared" si="6"/>
        <v>13368499279</v>
      </c>
      <c r="H307" s="6">
        <v>9663</v>
      </c>
      <c r="I307" s="6">
        <v>4251</v>
      </c>
      <c r="J307" s="7">
        <f t="shared" si="7"/>
        <v>5412</v>
      </c>
      <c r="K307" s="7">
        <f t="shared" si="8"/>
        <v>1082.4000000000001</v>
      </c>
      <c r="L307" s="7">
        <f t="shared" si="9"/>
        <v>1</v>
      </c>
      <c r="M307" s="7">
        <f>IFERROR(VLOOKUP(G307,'Base de faturamento'!A:C,2,FALSE),0)</f>
        <v>9663</v>
      </c>
      <c r="N307" s="8">
        <f>IFERROR(VLOOKUP(G307,'Base de faturamento'!A:C,3,FALSE),0)</f>
        <v>44625</v>
      </c>
      <c r="O307" s="8">
        <f t="shared" si="10"/>
        <v>44635</v>
      </c>
      <c r="P307" s="8">
        <f t="shared" si="11"/>
        <v>44652</v>
      </c>
    </row>
    <row r="308" spans="1:16" ht="15" x14ac:dyDescent="0.25">
      <c r="A308" s="2" t="s">
        <v>347</v>
      </c>
      <c r="B308" s="2" t="s">
        <v>17</v>
      </c>
      <c r="C308" s="3" t="str">
        <f>VLOOKUP(B308,Dados!$A$3:$B$10,2,FALSE)</f>
        <v>Time 3</v>
      </c>
      <c r="D308" s="2" t="s">
        <v>22</v>
      </c>
      <c r="E308" s="2" t="s">
        <v>19</v>
      </c>
      <c r="F308" s="4" t="s">
        <v>348</v>
      </c>
      <c r="G308" s="5" t="str">
        <f t="shared" si="6"/>
        <v>13381431787</v>
      </c>
      <c r="H308" s="6">
        <v>5431</v>
      </c>
      <c r="I308" s="6">
        <v>0</v>
      </c>
      <c r="J308" s="7">
        <f t="shared" si="7"/>
        <v>5431</v>
      </c>
      <c r="K308" s="7">
        <f t="shared" si="8"/>
        <v>1629.3</v>
      </c>
      <c r="L308" s="7">
        <f t="shared" si="9"/>
        <v>1</v>
      </c>
      <c r="M308" s="7">
        <f>IFERROR(VLOOKUP(G308,'Base de faturamento'!A:C,2,FALSE),0)</f>
        <v>5431</v>
      </c>
      <c r="N308" s="8">
        <f>IFERROR(VLOOKUP(G308,'Base de faturamento'!A:C,3,FALSE),0)</f>
        <v>44636</v>
      </c>
      <c r="O308" s="8">
        <f t="shared" si="10"/>
        <v>44652</v>
      </c>
      <c r="P308" s="8">
        <f t="shared" si="11"/>
        <v>44652</v>
      </c>
    </row>
    <row r="309" spans="1:16" ht="15" x14ac:dyDescent="0.25">
      <c r="A309" s="2" t="s">
        <v>349</v>
      </c>
      <c r="B309" s="2" t="s">
        <v>36</v>
      </c>
      <c r="C309" s="3" t="str">
        <f>VLOOKUP(B309,Dados!$A$3:$B$10,2,FALSE)</f>
        <v>Time 1</v>
      </c>
      <c r="D309" s="2" t="s">
        <v>18</v>
      </c>
      <c r="E309" s="2" t="s">
        <v>19</v>
      </c>
      <c r="F309" s="4" t="s">
        <v>350</v>
      </c>
      <c r="G309" s="5" t="str">
        <f t="shared" si="6"/>
        <v>13697502921</v>
      </c>
      <c r="H309" s="6">
        <v>4273</v>
      </c>
      <c r="I309" s="6">
        <v>0</v>
      </c>
      <c r="J309" s="7">
        <f t="shared" si="7"/>
        <v>4273</v>
      </c>
      <c r="K309" s="7">
        <f t="shared" si="8"/>
        <v>854.6</v>
      </c>
      <c r="L309" s="7">
        <f t="shared" si="9"/>
        <v>1</v>
      </c>
      <c r="M309" s="7">
        <f>IFERROR(VLOOKUP(G309,'Base de faturamento'!A:C,2,FALSE),0)</f>
        <v>4273</v>
      </c>
      <c r="N309" s="8">
        <f>IFERROR(VLOOKUP(G309,'Base de faturamento'!A:C,3,FALSE),0)</f>
        <v>44739</v>
      </c>
      <c r="O309" s="8">
        <f t="shared" si="10"/>
        <v>44727</v>
      </c>
      <c r="P309" s="8">
        <f t="shared" si="11"/>
        <v>44743</v>
      </c>
    </row>
    <row r="310" spans="1:16" ht="15" x14ac:dyDescent="0.25">
      <c r="A310" s="2" t="s">
        <v>351</v>
      </c>
      <c r="B310" s="2" t="s">
        <v>21</v>
      </c>
      <c r="C310" s="3" t="str">
        <f>VLOOKUP(B310,Dados!$A$3:$B$10,2,FALSE)</f>
        <v>Time 1</v>
      </c>
      <c r="D310" s="2" t="s">
        <v>18</v>
      </c>
      <c r="E310" s="2" t="s">
        <v>19</v>
      </c>
      <c r="F310" s="4" t="s">
        <v>352</v>
      </c>
      <c r="G310" s="5" t="str">
        <f t="shared" si="6"/>
        <v>14372596772</v>
      </c>
      <c r="H310" s="6">
        <v>2443</v>
      </c>
      <c r="I310" s="6">
        <v>0</v>
      </c>
      <c r="J310" s="7">
        <f t="shared" si="7"/>
        <v>2443</v>
      </c>
      <c r="K310" s="7">
        <f t="shared" si="8"/>
        <v>488.6</v>
      </c>
      <c r="L310" s="7">
        <f t="shared" si="9"/>
        <v>1</v>
      </c>
      <c r="M310" s="7">
        <f>IFERROR(VLOOKUP(G310,'Base de faturamento'!A:C,2,FALSE),0)</f>
        <v>2443</v>
      </c>
      <c r="N310" s="8">
        <f>IFERROR(VLOOKUP(G310,'Base de faturamento'!A:C,3,FALSE),0)</f>
        <v>44709</v>
      </c>
      <c r="O310" s="8">
        <f t="shared" si="10"/>
        <v>44696</v>
      </c>
      <c r="P310" s="8">
        <f t="shared" si="11"/>
        <v>44713</v>
      </c>
    </row>
    <row r="311" spans="1:16" ht="15" x14ac:dyDescent="0.25">
      <c r="A311" s="2" t="s">
        <v>353</v>
      </c>
      <c r="B311" s="2" t="s">
        <v>36</v>
      </c>
      <c r="C311" s="3" t="str">
        <f>VLOOKUP(B311,Dados!$A$3:$B$10,2,FALSE)</f>
        <v>Time 1</v>
      </c>
      <c r="D311" s="2" t="s">
        <v>18</v>
      </c>
      <c r="E311" s="2" t="s">
        <v>19</v>
      </c>
      <c r="F311" s="4" t="s">
        <v>354</v>
      </c>
      <c r="G311" s="5" t="str">
        <f t="shared" si="6"/>
        <v>14414455867</v>
      </c>
      <c r="H311" s="6">
        <v>5953</v>
      </c>
      <c r="I311" s="6">
        <v>0</v>
      </c>
      <c r="J311" s="7">
        <f t="shared" si="7"/>
        <v>5953</v>
      </c>
      <c r="K311" s="7">
        <f t="shared" si="8"/>
        <v>1190.6000000000001</v>
      </c>
      <c r="L311" s="7">
        <f t="shared" si="9"/>
        <v>1</v>
      </c>
      <c r="M311" s="7">
        <f>IFERROR(VLOOKUP(G311,'Base de faturamento'!A:C,2,FALSE),0)</f>
        <v>5953</v>
      </c>
      <c r="N311" s="8">
        <f>IFERROR(VLOOKUP(G311,'Base de faturamento'!A:C,3,FALSE),0)</f>
        <v>44663</v>
      </c>
      <c r="O311" s="8">
        <f t="shared" si="10"/>
        <v>44666</v>
      </c>
      <c r="P311" s="8">
        <f t="shared" si="11"/>
        <v>44682</v>
      </c>
    </row>
    <row r="312" spans="1:16" ht="15" x14ac:dyDescent="0.25">
      <c r="A312" s="2" t="s">
        <v>355</v>
      </c>
      <c r="B312" s="2" t="s">
        <v>36</v>
      </c>
      <c r="C312" s="3" t="str">
        <f>VLOOKUP(B312,Dados!$A$3:$B$10,2,FALSE)</f>
        <v>Time 1</v>
      </c>
      <c r="D312" s="2" t="s">
        <v>18</v>
      </c>
      <c r="E312" s="2" t="s">
        <v>19</v>
      </c>
      <c r="F312" s="4" t="s">
        <v>356</v>
      </c>
      <c r="G312" s="5" t="str">
        <f t="shared" si="6"/>
        <v>14555157663</v>
      </c>
      <c r="H312" s="6">
        <v>7125</v>
      </c>
      <c r="I312" s="6">
        <v>0</v>
      </c>
      <c r="J312" s="7">
        <f t="shared" si="7"/>
        <v>7125</v>
      </c>
      <c r="K312" s="7">
        <f t="shared" si="8"/>
        <v>1425</v>
      </c>
      <c r="L312" s="7">
        <f t="shared" si="9"/>
        <v>1</v>
      </c>
      <c r="M312" s="7">
        <f>IFERROR(VLOOKUP(G312,'Base de faturamento'!A:C,2,FALSE),0)</f>
        <v>7125</v>
      </c>
      <c r="N312" s="8">
        <f>IFERROR(VLOOKUP(G312,'Base de faturamento'!A:C,3,FALSE),0)</f>
        <v>44735</v>
      </c>
      <c r="O312" s="8">
        <f t="shared" si="10"/>
        <v>44727</v>
      </c>
      <c r="P312" s="8">
        <f t="shared" si="11"/>
        <v>44743</v>
      </c>
    </row>
    <row r="313" spans="1:16" ht="15" x14ac:dyDescent="0.25">
      <c r="A313" s="2" t="s">
        <v>357</v>
      </c>
      <c r="B313" s="2" t="s">
        <v>31</v>
      </c>
      <c r="C313" s="3" t="str">
        <f>VLOOKUP(B313,Dados!$A$3:$B$10,2,FALSE)</f>
        <v>Time 3</v>
      </c>
      <c r="D313" s="2" t="s">
        <v>22</v>
      </c>
      <c r="E313" s="2" t="s">
        <v>19</v>
      </c>
      <c r="F313" s="4" t="s">
        <v>358</v>
      </c>
      <c r="G313" s="5" t="str">
        <f t="shared" si="6"/>
        <v>14576313678</v>
      </c>
      <c r="H313" s="6">
        <v>1121</v>
      </c>
      <c r="I313" s="6">
        <v>0</v>
      </c>
      <c r="J313" s="7">
        <f t="shared" si="7"/>
        <v>1121</v>
      </c>
      <c r="K313" s="7">
        <f t="shared" si="8"/>
        <v>336.3</v>
      </c>
      <c r="L313" s="7">
        <f t="shared" si="9"/>
        <v>1</v>
      </c>
      <c r="M313" s="7">
        <f>IFERROR(VLOOKUP(G313,'Base de faturamento'!A:C,2,FALSE),0)</f>
        <v>1121</v>
      </c>
      <c r="N313" s="8">
        <f>IFERROR(VLOOKUP(G313,'Base de faturamento'!A:C,3,FALSE),0)</f>
        <v>44740</v>
      </c>
      <c r="O313" s="8">
        <f t="shared" si="10"/>
        <v>44743</v>
      </c>
      <c r="P313" s="8">
        <f t="shared" si="11"/>
        <v>44743</v>
      </c>
    </row>
    <row r="314" spans="1:16" ht="15" x14ac:dyDescent="0.25">
      <c r="A314" s="2" t="s">
        <v>359</v>
      </c>
      <c r="B314" s="2" t="s">
        <v>36</v>
      </c>
      <c r="C314" s="3" t="str">
        <f>VLOOKUP(B314,Dados!$A$3:$B$10,2,FALSE)</f>
        <v>Time 1</v>
      </c>
      <c r="D314" s="2" t="s">
        <v>18</v>
      </c>
      <c r="E314" s="2" t="s">
        <v>19</v>
      </c>
      <c r="F314" s="4" t="s">
        <v>360</v>
      </c>
      <c r="G314" s="5" t="str">
        <f t="shared" si="6"/>
        <v>14639392952</v>
      </c>
      <c r="H314" s="6">
        <v>9453</v>
      </c>
      <c r="I314" s="6">
        <v>0</v>
      </c>
      <c r="J314" s="7">
        <f t="shared" si="7"/>
        <v>9453</v>
      </c>
      <c r="K314" s="7">
        <f t="shared" si="8"/>
        <v>1890.6000000000001</v>
      </c>
      <c r="L314" s="7">
        <f t="shared" si="9"/>
        <v>1</v>
      </c>
      <c r="M314" s="7">
        <f>IFERROR(VLOOKUP(G314,'Base de faturamento'!A:C,2,FALSE),0)</f>
        <v>9453</v>
      </c>
      <c r="N314" s="8">
        <f>IFERROR(VLOOKUP(G314,'Base de faturamento'!A:C,3,FALSE),0)</f>
        <v>44623</v>
      </c>
      <c r="O314" s="8">
        <f t="shared" si="10"/>
        <v>44635</v>
      </c>
      <c r="P314" s="8">
        <f t="shared" si="11"/>
        <v>44652</v>
      </c>
    </row>
    <row r="315" spans="1:16" ht="15" x14ac:dyDescent="0.25">
      <c r="A315" s="2" t="s">
        <v>361</v>
      </c>
      <c r="B315" s="2" t="s">
        <v>29</v>
      </c>
      <c r="C315" s="3" t="str">
        <f>VLOOKUP(B315,Dados!$A$3:$B$10,2,FALSE)</f>
        <v>Time 2</v>
      </c>
      <c r="D315" s="2" t="s">
        <v>18</v>
      </c>
      <c r="E315" s="2" t="s">
        <v>19</v>
      </c>
      <c r="F315" s="4" t="s">
        <v>362</v>
      </c>
      <c r="G315" s="5" t="str">
        <f t="shared" si="6"/>
        <v>15507968762</v>
      </c>
      <c r="H315" s="6">
        <v>7269</v>
      </c>
      <c r="I315" s="6">
        <v>0</v>
      </c>
      <c r="J315" s="7">
        <f t="shared" si="7"/>
        <v>7269</v>
      </c>
      <c r="K315" s="7">
        <f t="shared" si="8"/>
        <v>1453.8000000000002</v>
      </c>
      <c r="L315" s="7">
        <f t="shared" si="9"/>
        <v>1</v>
      </c>
      <c r="M315" s="7">
        <f>IFERROR(VLOOKUP(G315,'Base de faturamento'!A:C,2,FALSE),0)</f>
        <v>7269</v>
      </c>
      <c r="N315" s="8">
        <f>IFERROR(VLOOKUP(G315,'Base de faturamento'!A:C,3,FALSE),0)</f>
        <v>44634</v>
      </c>
      <c r="O315" s="8">
        <f t="shared" si="10"/>
        <v>44652</v>
      </c>
      <c r="P315" s="8">
        <f t="shared" si="11"/>
        <v>44652</v>
      </c>
    </row>
    <row r="316" spans="1:16" ht="15" x14ac:dyDescent="0.25">
      <c r="A316" s="2" t="s">
        <v>363</v>
      </c>
      <c r="B316" s="2" t="s">
        <v>17</v>
      </c>
      <c r="C316" s="3" t="str">
        <f>VLOOKUP(B316,Dados!$A$3:$B$10,2,FALSE)</f>
        <v>Time 3</v>
      </c>
      <c r="D316" s="2" t="s">
        <v>22</v>
      </c>
      <c r="E316" s="2" t="s">
        <v>25</v>
      </c>
      <c r="F316" s="4" t="s">
        <v>364</v>
      </c>
      <c r="G316" s="5" t="str">
        <f t="shared" si="6"/>
        <v>15720902707</v>
      </c>
      <c r="H316" s="6">
        <v>1146</v>
      </c>
      <c r="I316" s="6">
        <v>9571</v>
      </c>
      <c r="J316" s="7">
        <f t="shared" si="7"/>
        <v>0</v>
      </c>
      <c r="K316" s="7">
        <f t="shared" si="8"/>
        <v>0</v>
      </c>
      <c r="L316" s="7">
        <f t="shared" si="9"/>
        <v>1</v>
      </c>
      <c r="M316" s="7">
        <f>IFERROR(VLOOKUP(G316,'Base de faturamento'!A:C,2,FALSE),0)</f>
        <v>1146</v>
      </c>
      <c r="N316" s="8">
        <f>IFERROR(VLOOKUP(G316,'Base de faturamento'!A:C,3,FALSE),0)</f>
        <v>44688</v>
      </c>
      <c r="O316" s="8">
        <f t="shared" si="10"/>
        <v>44713</v>
      </c>
      <c r="P316" s="8">
        <f t="shared" si="11"/>
        <v>44713</v>
      </c>
    </row>
    <row r="317" spans="1:16" ht="15" x14ac:dyDescent="0.25">
      <c r="A317" s="2" t="s">
        <v>365</v>
      </c>
      <c r="B317" s="2" t="s">
        <v>27</v>
      </c>
      <c r="C317" s="3" t="str">
        <f>VLOOKUP(B317,Dados!$A$3:$B$10,2,FALSE)</f>
        <v>Time 2</v>
      </c>
      <c r="D317" s="2" t="s">
        <v>22</v>
      </c>
      <c r="E317" s="2" t="s">
        <v>19</v>
      </c>
      <c r="F317" s="4" t="s">
        <v>366</v>
      </c>
      <c r="G317" s="5" t="str">
        <f t="shared" si="6"/>
        <v>15779736258</v>
      </c>
      <c r="H317" s="6">
        <v>6580</v>
      </c>
      <c r="I317" s="6">
        <v>0</v>
      </c>
      <c r="J317" s="7">
        <f t="shared" si="7"/>
        <v>6580</v>
      </c>
      <c r="K317" s="7">
        <f t="shared" si="8"/>
        <v>1974</v>
      </c>
      <c r="L317" s="7">
        <f t="shared" si="9"/>
        <v>1</v>
      </c>
      <c r="M317" s="7">
        <f>IFERROR(VLOOKUP(G317,'Base de faturamento'!A:C,2,FALSE),0)</f>
        <v>6580</v>
      </c>
      <c r="N317" s="8">
        <f>IFERROR(VLOOKUP(G317,'Base de faturamento'!A:C,3,FALSE),0)</f>
        <v>44739</v>
      </c>
      <c r="O317" s="8">
        <f t="shared" si="10"/>
        <v>44743</v>
      </c>
      <c r="P317" s="8">
        <f t="shared" si="11"/>
        <v>44743</v>
      </c>
    </row>
    <row r="318" spans="1:16" ht="15" x14ac:dyDescent="0.25">
      <c r="A318" s="2" t="s">
        <v>367</v>
      </c>
      <c r="B318" s="2" t="s">
        <v>36</v>
      </c>
      <c r="C318" s="3" t="str">
        <f>VLOOKUP(B318,Dados!$A$3:$B$10,2,FALSE)</f>
        <v>Time 1</v>
      </c>
      <c r="D318" s="2" t="s">
        <v>22</v>
      </c>
      <c r="E318" s="2" t="s">
        <v>25</v>
      </c>
      <c r="F318" s="4" t="s">
        <v>368</v>
      </c>
      <c r="G318" s="5" t="str">
        <f t="shared" si="6"/>
        <v>16427246760</v>
      </c>
      <c r="H318" s="6">
        <v>5518</v>
      </c>
      <c r="I318" s="6">
        <v>1700</v>
      </c>
      <c r="J318" s="7">
        <f t="shared" si="7"/>
        <v>3818</v>
      </c>
      <c r="K318" s="7">
        <f t="shared" si="8"/>
        <v>1145.3999999999999</v>
      </c>
      <c r="L318" s="7">
        <f t="shared" si="9"/>
        <v>1</v>
      </c>
      <c r="M318" s="7">
        <f>IFERROR(VLOOKUP(G318,'Base de faturamento'!A:C,2,FALSE),0)</f>
        <v>5518</v>
      </c>
      <c r="N318" s="8">
        <f>IFERROR(VLOOKUP(G318,'Base de faturamento'!A:C,3,FALSE),0)</f>
        <v>44663</v>
      </c>
      <c r="O318" s="8">
        <f t="shared" si="10"/>
        <v>44666</v>
      </c>
      <c r="P318" s="8">
        <f t="shared" si="11"/>
        <v>44682</v>
      </c>
    </row>
    <row r="319" spans="1:16" ht="15" x14ac:dyDescent="0.25">
      <c r="A319" s="2" t="s">
        <v>369</v>
      </c>
      <c r="B319" s="2" t="s">
        <v>33</v>
      </c>
      <c r="C319" s="3" t="str">
        <f>VLOOKUP(B319,Dados!$A$3:$B$10,2,FALSE)</f>
        <v>Time 1</v>
      </c>
      <c r="D319" s="2" t="s">
        <v>18</v>
      </c>
      <c r="E319" s="2" t="s">
        <v>19</v>
      </c>
      <c r="F319" s="4" t="s">
        <v>370</v>
      </c>
      <c r="G319" s="5" t="str">
        <f t="shared" si="6"/>
        <v>16793089638</v>
      </c>
      <c r="H319" s="6">
        <v>8193</v>
      </c>
      <c r="I319" s="6">
        <v>0</v>
      </c>
      <c r="J319" s="7">
        <f t="shared" si="7"/>
        <v>8193</v>
      </c>
      <c r="K319" s="7">
        <f t="shared" si="8"/>
        <v>1638.6000000000001</v>
      </c>
      <c r="L319" s="7">
        <f t="shared" si="9"/>
        <v>1</v>
      </c>
      <c r="M319" s="7">
        <f>IFERROR(VLOOKUP(G319,'Base de faturamento'!A:C,2,FALSE),0)</f>
        <v>8193</v>
      </c>
      <c r="N319" s="8">
        <f>IFERROR(VLOOKUP(G319,'Base de faturamento'!A:C,3,FALSE),0)</f>
        <v>44658</v>
      </c>
      <c r="O319" s="8">
        <f t="shared" si="10"/>
        <v>44666</v>
      </c>
      <c r="P319" s="8">
        <f t="shared" si="11"/>
        <v>44682</v>
      </c>
    </row>
    <row r="320" spans="1:16" ht="15" x14ac:dyDescent="0.25">
      <c r="A320" s="2" t="s">
        <v>371</v>
      </c>
      <c r="B320" s="2" t="s">
        <v>24</v>
      </c>
      <c r="C320" s="3" t="str">
        <f>VLOOKUP(B320,Dados!$A$3:$B$10,2,FALSE)</f>
        <v>Time 2</v>
      </c>
      <c r="D320" s="2" t="s">
        <v>18</v>
      </c>
      <c r="E320" s="2" t="s">
        <v>25</v>
      </c>
      <c r="F320" s="4" t="s">
        <v>372</v>
      </c>
      <c r="G320" s="5" t="str">
        <f t="shared" si="6"/>
        <v>16978230753</v>
      </c>
      <c r="H320" s="6">
        <v>5090</v>
      </c>
      <c r="I320" s="6">
        <v>7818</v>
      </c>
      <c r="J320" s="7">
        <f t="shared" si="7"/>
        <v>0</v>
      </c>
      <c r="K320" s="7">
        <f t="shared" si="8"/>
        <v>0</v>
      </c>
      <c r="L320" s="7">
        <f t="shared" si="9"/>
        <v>1</v>
      </c>
      <c r="M320" s="7">
        <f>IFERROR(VLOOKUP(G320,'Base de faturamento'!A:C,2,FALSE),0)</f>
        <v>5090</v>
      </c>
      <c r="N320" s="8">
        <f>IFERROR(VLOOKUP(G320,'Base de faturamento'!A:C,3,FALSE),0)</f>
        <v>44728</v>
      </c>
      <c r="O320" s="8">
        <f t="shared" si="10"/>
        <v>44743</v>
      </c>
      <c r="P320" s="8">
        <f t="shared" si="11"/>
        <v>44743</v>
      </c>
    </row>
    <row r="321" spans="1:16" ht="15" x14ac:dyDescent="0.25">
      <c r="A321" s="2" t="s">
        <v>373</v>
      </c>
      <c r="B321" s="2" t="s">
        <v>29</v>
      </c>
      <c r="C321" s="3" t="str">
        <f>VLOOKUP(B321,Dados!$A$3:$B$10,2,FALSE)</f>
        <v>Time 2</v>
      </c>
      <c r="D321" s="2" t="s">
        <v>22</v>
      </c>
      <c r="E321" s="2" t="s">
        <v>19</v>
      </c>
      <c r="F321" s="4" t="s">
        <v>374</v>
      </c>
      <c r="G321" s="5" t="str">
        <f t="shared" si="6"/>
        <v>17125319287</v>
      </c>
      <c r="H321" s="6">
        <v>3959</v>
      </c>
      <c r="I321" s="6">
        <v>0</v>
      </c>
      <c r="J321" s="7">
        <f t="shared" si="7"/>
        <v>3959</v>
      </c>
      <c r="K321" s="7">
        <f t="shared" si="8"/>
        <v>1187.7</v>
      </c>
      <c r="L321" s="7">
        <f t="shared" si="9"/>
        <v>1</v>
      </c>
      <c r="M321" s="7">
        <f>IFERROR(VLOOKUP(G321,'Base de faturamento'!A:C,2,FALSE),0)</f>
        <v>3959</v>
      </c>
      <c r="N321" s="8">
        <f>IFERROR(VLOOKUP(G321,'Base de faturamento'!A:C,3,FALSE),0)</f>
        <v>44712</v>
      </c>
      <c r="O321" s="8">
        <f t="shared" si="10"/>
        <v>44713</v>
      </c>
      <c r="P321" s="8">
        <f t="shared" si="11"/>
        <v>44713</v>
      </c>
    </row>
    <row r="322" spans="1:16" ht="15" x14ac:dyDescent="0.25">
      <c r="A322" s="2" t="s">
        <v>375</v>
      </c>
      <c r="B322" s="2" t="s">
        <v>17</v>
      </c>
      <c r="C322" s="3" t="str">
        <f>VLOOKUP(B322,Dados!$A$3:$B$10,2,FALSE)</f>
        <v>Time 3</v>
      </c>
      <c r="D322" s="2" t="s">
        <v>18</v>
      </c>
      <c r="E322" s="2" t="s">
        <v>25</v>
      </c>
      <c r="F322" s="4" t="s">
        <v>376</v>
      </c>
      <c r="G322" s="5" t="str">
        <f t="shared" si="6"/>
        <v>17165461649</v>
      </c>
      <c r="H322" s="6">
        <v>8788</v>
      </c>
      <c r="I322" s="6">
        <v>2588</v>
      </c>
      <c r="J322" s="7">
        <f t="shared" si="7"/>
        <v>6200</v>
      </c>
      <c r="K322" s="7">
        <f t="shared" si="8"/>
        <v>1240</v>
      </c>
      <c r="L322" s="7">
        <f t="shared" si="9"/>
        <v>1</v>
      </c>
      <c r="M322" s="7">
        <f>IFERROR(VLOOKUP(G322,'Base de faturamento'!A:C,2,FALSE),0)</f>
        <v>8788</v>
      </c>
      <c r="N322" s="8">
        <f>IFERROR(VLOOKUP(G322,'Base de faturamento'!A:C,3,FALSE),0)</f>
        <v>44657</v>
      </c>
      <c r="O322" s="8">
        <f t="shared" si="10"/>
        <v>44682</v>
      </c>
      <c r="P322" s="8">
        <f t="shared" si="11"/>
        <v>44682</v>
      </c>
    </row>
    <row r="323" spans="1:16" ht="15" x14ac:dyDescent="0.25">
      <c r="A323" s="2" t="s">
        <v>377</v>
      </c>
      <c r="B323" s="2" t="s">
        <v>31</v>
      </c>
      <c r="C323" s="3" t="str">
        <f>VLOOKUP(B323,Dados!$A$3:$B$10,2,FALSE)</f>
        <v>Time 3</v>
      </c>
      <c r="D323" s="2" t="s">
        <v>22</v>
      </c>
      <c r="E323" s="2" t="s">
        <v>19</v>
      </c>
      <c r="F323" s="4" t="s">
        <v>378</v>
      </c>
      <c r="G323" s="5" t="str">
        <f t="shared" si="6"/>
        <v>17376203696</v>
      </c>
      <c r="H323" s="6">
        <v>8883</v>
      </c>
      <c r="I323" s="6">
        <v>0</v>
      </c>
      <c r="J323" s="7">
        <f t="shared" si="7"/>
        <v>8883</v>
      </c>
      <c r="K323" s="7">
        <f t="shared" si="8"/>
        <v>2664.9</v>
      </c>
      <c r="L323" s="7">
        <f t="shared" si="9"/>
        <v>1</v>
      </c>
      <c r="M323" s="7">
        <f>IFERROR(VLOOKUP(G323,'Base de faturamento'!A:C,2,FALSE),0)</f>
        <v>8883</v>
      </c>
      <c r="N323" s="8">
        <f>IFERROR(VLOOKUP(G323,'Base de faturamento'!A:C,3,FALSE),0)</f>
        <v>44700</v>
      </c>
      <c r="O323" s="8">
        <f t="shared" si="10"/>
        <v>44713</v>
      </c>
      <c r="P323" s="8">
        <f t="shared" si="11"/>
        <v>44713</v>
      </c>
    </row>
    <row r="324" spans="1:16" ht="15" x14ac:dyDescent="0.25">
      <c r="A324" s="2" t="s">
        <v>379</v>
      </c>
      <c r="B324" s="2" t="s">
        <v>17</v>
      </c>
      <c r="C324" s="3" t="str">
        <f>VLOOKUP(B324,Dados!$A$3:$B$10,2,FALSE)</f>
        <v>Time 3</v>
      </c>
      <c r="D324" s="2" t="s">
        <v>18</v>
      </c>
      <c r="E324" s="2" t="s">
        <v>25</v>
      </c>
      <c r="F324" s="4" t="s">
        <v>380</v>
      </c>
      <c r="G324" s="5" t="str">
        <f t="shared" si="6"/>
        <v>17618665739</v>
      </c>
      <c r="H324" s="6">
        <v>5284</v>
      </c>
      <c r="I324" s="6">
        <v>1721</v>
      </c>
      <c r="J324" s="7">
        <f t="shared" si="7"/>
        <v>3563</v>
      </c>
      <c r="K324" s="7">
        <f t="shared" si="8"/>
        <v>712.6</v>
      </c>
      <c r="L324" s="7">
        <f t="shared" si="9"/>
        <v>1</v>
      </c>
      <c r="M324" s="7">
        <f>IFERROR(VLOOKUP(G324,'Base de faturamento'!A:C,2,FALSE),0)</f>
        <v>5284</v>
      </c>
      <c r="N324" s="8">
        <f>IFERROR(VLOOKUP(G324,'Base de faturamento'!A:C,3,FALSE),0)</f>
        <v>44652</v>
      </c>
      <c r="O324" s="8">
        <f t="shared" si="10"/>
        <v>44682</v>
      </c>
      <c r="P324" s="8">
        <f t="shared" si="11"/>
        <v>44682</v>
      </c>
    </row>
    <row r="325" spans="1:16" ht="15" x14ac:dyDescent="0.25">
      <c r="A325" s="2" t="s">
        <v>381</v>
      </c>
      <c r="B325" s="2" t="s">
        <v>24</v>
      </c>
      <c r="C325" s="3" t="str">
        <f>VLOOKUP(B325,Dados!$A$3:$B$10,2,FALSE)</f>
        <v>Time 2</v>
      </c>
      <c r="D325" s="2" t="s">
        <v>22</v>
      </c>
      <c r="E325" s="2" t="s">
        <v>19</v>
      </c>
      <c r="F325" s="4" t="s">
        <v>382</v>
      </c>
      <c r="G325" s="5" t="str">
        <f t="shared" si="6"/>
        <v>18005549041</v>
      </c>
      <c r="H325" s="6">
        <v>1550</v>
      </c>
      <c r="I325" s="6">
        <v>0</v>
      </c>
      <c r="J325" s="7">
        <f t="shared" si="7"/>
        <v>1550</v>
      </c>
      <c r="K325" s="7">
        <f t="shared" si="8"/>
        <v>465</v>
      </c>
      <c r="L325" s="7">
        <f t="shared" si="9"/>
        <v>1</v>
      </c>
      <c r="M325" s="7">
        <f>IFERROR(VLOOKUP(G325,'Base de faturamento'!A:C,2,FALSE),0)</f>
        <v>1550</v>
      </c>
      <c r="N325" s="8">
        <f>IFERROR(VLOOKUP(G325,'Base de faturamento'!A:C,3,FALSE),0)</f>
        <v>44720</v>
      </c>
      <c r="O325" s="8">
        <f t="shared" si="10"/>
        <v>44743</v>
      </c>
      <c r="P325" s="8">
        <f t="shared" si="11"/>
        <v>44743</v>
      </c>
    </row>
    <row r="326" spans="1:16" ht="15" x14ac:dyDescent="0.25">
      <c r="A326" s="2" t="s">
        <v>383</v>
      </c>
      <c r="B326" s="2" t="s">
        <v>27</v>
      </c>
      <c r="C326" s="3" t="str">
        <f>VLOOKUP(B326,Dados!$A$3:$B$10,2,FALSE)</f>
        <v>Time 2</v>
      </c>
      <c r="D326" s="2" t="s">
        <v>18</v>
      </c>
      <c r="E326" s="2" t="s">
        <v>19</v>
      </c>
      <c r="F326" s="4" t="s">
        <v>384</v>
      </c>
      <c r="G326" s="5" t="str">
        <f t="shared" si="6"/>
        <v>18449763981</v>
      </c>
      <c r="H326" s="6">
        <v>7513</v>
      </c>
      <c r="I326" s="6">
        <v>0</v>
      </c>
      <c r="J326" s="7">
        <f t="shared" si="7"/>
        <v>7513</v>
      </c>
      <c r="K326" s="7">
        <f t="shared" si="8"/>
        <v>1502.6000000000001</v>
      </c>
      <c r="L326" s="7">
        <f t="shared" si="9"/>
        <v>1</v>
      </c>
      <c r="M326" s="7">
        <f>IFERROR(VLOOKUP(G326,'Base de faturamento'!A:C,2,FALSE),0)</f>
        <v>7513</v>
      </c>
      <c r="N326" s="8">
        <f>IFERROR(VLOOKUP(G326,'Base de faturamento'!A:C,3,FALSE),0)</f>
        <v>44684</v>
      </c>
      <c r="O326" s="8">
        <f t="shared" si="10"/>
        <v>44713</v>
      </c>
      <c r="P326" s="8">
        <f t="shared" si="11"/>
        <v>44713</v>
      </c>
    </row>
    <row r="327" spans="1:16" ht="15" x14ac:dyDescent="0.25">
      <c r="A327" s="2" t="s">
        <v>385</v>
      </c>
      <c r="B327" s="2" t="s">
        <v>24</v>
      </c>
      <c r="C327" s="3" t="str">
        <f>VLOOKUP(B327,Dados!$A$3:$B$10,2,FALSE)</f>
        <v>Time 2</v>
      </c>
      <c r="D327" s="2" t="s">
        <v>18</v>
      </c>
      <c r="E327" s="2" t="s">
        <v>25</v>
      </c>
      <c r="F327" s="4" t="s">
        <v>386</v>
      </c>
      <c r="G327" s="5" t="str">
        <f t="shared" si="6"/>
        <v>18516751252</v>
      </c>
      <c r="H327" s="6">
        <v>4078</v>
      </c>
      <c r="I327" s="6">
        <v>1553</v>
      </c>
      <c r="J327" s="7">
        <f t="shared" si="7"/>
        <v>2525</v>
      </c>
      <c r="K327" s="7">
        <f t="shared" si="8"/>
        <v>505</v>
      </c>
      <c r="L327" s="7">
        <f t="shared" si="9"/>
        <v>1</v>
      </c>
      <c r="M327" s="7">
        <f>IFERROR(VLOOKUP(G327,'Base de faturamento'!A:C,2,FALSE),0)</f>
        <v>4078</v>
      </c>
      <c r="N327" s="8">
        <f>IFERROR(VLOOKUP(G327,'Base de faturamento'!A:C,3,FALSE),0)</f>
        <v>44636</v>
      </c>
      <c r="O327" s="8">
        <f t="shared" si="10"/>
        <v>44652</v>
      </c>
      <c r="P327" s="8">
        <f t="shared" si="11"/>
        <v>44652</v>
      </c>
    </row>
    <row r="328" spans="1:16" ht="15" x14ac:dyDescent="0.25">
      <c r="A328" s="2" t="s">
        <v>387</v>
      </c>
      <c r="B328" s="2" t="s">
        <v>21</v>
      </c>
      <c r="C328" s="3" t="str">
        <f>VLOOKUP(B328,Dados!$A$3:$B$10,2,FALSE)</f>
        <v>Time 1</v>
      </c>
      <c r="D328" s="2" t="s">
        <v>22</v>
      </c>
      <c r="E328" s="2" t="s">
        <v>19</v>
      </c>
      <c r="F328" s="4" t="s">
        <v>388</v>
      </c>
      <c r="G328" s="5" t="str">
        <f t="shared" si="6"/>
        <v>18646304656</v>
      </c>
      <c r="H328" s="6">
        <v>9852</v>
      </c>
      <c r="I328" s="6">
        <v>0</v>
      </c>
      <c r="J328" s="7">
        <f t="shared" si="7"/>
        <v>9852</v>
      </c>
      <c r="K328" s="7">
        <f t="shared" si="8"/>
        <v>2955.6</v>
      </c>
      <c r="L328" s="7">
        <f t="shared" si="9"/>
        <v>1</v>
      </c>
      <c r="M328" s="7">
        <f>IFERROR(VLOOKUP(G328,'Base de faturamento'!A:C,2,FALSE),0)</f>
        <v>9852</v>
      </c>
      <c r="N328" s="8">
        <f>IFERROR(VLOOKUP(G328,'Base de faturamento'!A:C,3,FALSE),0)</f>
        <v>44707</v>
      </c>
      <c r="O328" s="8">
        <f t="shared" si="10"/>
        <v>44696</v>
      </c>
      <c r="P328" s="8">
        <f t="shared" si="11"/>
        <v>44713</v>
      </c>
    </row>
    <row r="329" spans="1:16" ht="15" x14ac:dyDescent="0.25">
      <c r="A329" s="2" t="s">
        <v>389</v>
      </c>
      <c r="B329" s="2" t="s">
        <v>31</v>
      </c>
      <c r="C329" s="3" t="str">
        <f>VLOOKUP(B329,Dados!$A$3:$B$10,2,FALSE)</f>
        <v>Time 3</v>
      </c>
      <c r="D329" s="2" t="s">
        <v>18</v>
      </c>
      <c r="E329" s="2" t="s">
        <v>25</v>
      </c>
      <c r="F329" s="4" t="s">
        <v>390</v>
      </c>
      <c r="G329" s="5" t="str">
        <f t="shared" si="6"/>
        <v>19601319693</v>
      </c>
      <c r="H329" s="6">
        <v>1643</v>
      </c>
      <c r="I329" s="6">
        <v>9540</v>
      </c>
      <c r="J329" s="7">
        <f t="shared" si="7"/>
        <v>0</v>
      </c>
      <c r="K329" s="7">
        <f t="shared" si="8"/>
        <v>0</v>
      </c>
      <c r="L329" s="7">
        <f t="shared" si="9"/>
        <v>1</v>
      </c>
      <c r="M329" s="7">
        <f>IFERROR(VLOOKUP(G329,'Base de faturamento'!A:C,2,FALSE),0)</f>
        <v>1643</v>
      </c>
      <c r="N329" s="8">
        <f>IFERROR(VLOOKUP(G329,'Base de faturamento'!A:C,3,FALSE),0)</f>
        <v>44722</v>
      </c>
      <c r="O329" s="8">
        <f t="shared" si="10"/>
        <v>44743</v>
      </c>
      <c r="P329" s="8">
        <f t="shared" si="11"/>
        <v>44743</v>
      </c>
    </row>
    <row r="330" spans="1:16" ht="15" x14ac:dyDescent="0.25">
      <c r="A330" s="2" t="s">
        <v>391</v>
      </c>
      <c r="B330" s="2" t="s">
        <v>29</v>
      </c>
      <c r="C330" s="3" t="str">
        <f>VLOOKUP(B330,Dados!$A$3:$B$10,2,FALSE)</f>
        <v>Time 2</v>
      </c>
      <c r="D330" s="2" t="s">
        <v>22</v>
      </c>
      <c r="E330" s="2" t="s">
        <v>25</v>
      </c>
      <c r="F330" s="4" t="s">
        <v>392</v>
      </c>
      <c r="G330" s="5" t="str">
        <f t="shared" si="6"/>
        <v>19618002810</v>
      </c>
      <c r="H330" s="6">
        <v>3076</v>
      </c>
      <c r="I330" s="6">
        <v>6148</v>
      </c>
      <c r="J330" s="7">
        <f t="shared" si="7"/>
        <v>0</v>
      </c>
      <c r="K330" s="7">
        <f t="shared" si="8"/>
        <v>0</v>
      </c>
      <c r="L330" s="7">
        <f t="shared" si="9"/>
        <v>0</v>
      </c>
      <c r="M330" s="7">
        <f>IFERROR(VLOOKUP(G330,'Base de faturamento'!A:C,2,FALSE),0)</f>
        <v>0</v>
      </c>
      <c r="N330" s="8">
        <f>IFERROR(VLOOKUP(G330,'Base de faturamento'!A:C,3,FALSE),0)</f>
        <v>0</v>
      </c>
      <c r="O330" s="8">
        <f t="shared" si="10"/>
        <v>32</v>
      </c>
      <c r="P330" s="9" t="b">
        <f t="shared" si="11"/>
        <v>0</v>
      </c>
    </row>
    <row r="331" spans="1:16" ht="15" x14ac:dyDescent="0.25">
      <c r="A331" s="2" t="s">
        <v>393</v>
      </c>
      <c r="B331" s="2" t="s">
        <v>31</v>
      </c>
      <c r="C331" s="3" t="str">
        <f>VLOOKUP(B331,Dados!$A$3:$B$10,2,FALSE)</f>
        <v>Time 3</v>
      </c>
      <c r="D331" s="2" t="s">
        <v>18</v>
      </c>
      <c r="E331" s="2" t="s">
        <v>25</v>
      </c>
      <c r="F331" s="4" t="s">
        <v>394</v>
      </c>
      <c r="G331" s="5" t="str">
        <f t="shared" si="6"/>
        <v>19718150365</v>
      </c>
      <c r="H331" s="6">
        <v>3507</v>
      </c>
      <c r="I331" s="6">
        <v>3538</v>
      </c>
      <c r="J331" s="7">
        <f t="shared" si="7"/>
        <v>0</v>
      </c>
      <c r="K331" s="7">
        <f t="shared" si="8"/>
        <v>0</v>
      </c>
      <c r="L331" s="7">
        <f t="shared" si="9"/>
        <v>1</v>
      </c>
      <c r="M331" s="7">
        <f>IFERROR(VLOOKUP(G331,'Base de faturamento'!A:C,2,FALSE),0)</f>
        <v>3507</v>
      </c>
      <c r="N331" s="8">
        <f>IFERROR(VLOOKUP(G331,'Base de faturamento'!A:C,3,FALSE),0)</f>
        <v>44738</v>
      </c>
      <c r="O331" s="8">
        <f t="shared" si="10"/>
        <v>44743</v>
      </c>
      <c r="P331" s="8">
        <f t="shared" si="11"/>
        <v>44743</v>
      </c>
    </row>
    <row r="332" spans="1:16" ht="15" x14ac:dyDescent="0.25">
      <c r="A332" s="2" t="s">
        <v>395</v>
      </c>
      <c r="B332" s="2" t="s">
        <v>36</v>
      </c>
      <c r="C332" s="3" t="str">
        <f>VLOOKUP(B332,Dados!$A$3:$B$10,2,FALSE)</f>
        <v>Time 1</v>
      </c>
      <c r="D332" s="2" t="s">
        <v>22</v>
      </c>
      <c r="E332" s="2" t="s">
        <v>25</v>
      </c>
      <c r="F332" s="4" t="s">
        <v>396</v>
      </c>
      <c r="G332" s="5" t="str">
        <f t="shared" si="6"/>
        <v>19725403933</v>
      </c>
      <c r="H332" s="6">
        <v>9778</v>
      </c>
      <c r="I332" s="6">
        <v>2112</v>
      </c>
      <c r="J332" s="7">
        <f t="shared" si="7"/>
        <v>7666</v>
      </c>
      <c r="K332" s="7">
        <f t="shared" si="8"/>
        <v>0</v>
      </c>
      <c r="L332" s="7">
        <f t="shared" si="9"/>
        <v>0</v>
      </c>
      <c r="M332" s="7">
        <f>IFERROR(VLOOKUP(G332,'Base de faturamento'!A:C,2,FALSE),0)</f>
        <v>0</v>
      </c>
      <c r="N332" s="8">
        <f>IFERROR(VLOOKUP(G332,'Base de faturamento'!A:C,3,FALSE),0)</f>
        <v>0</v>
      </c>
      <c r="O332" s="8">
        <f t="shared" si="10"/>
        <v>15</v>
      </c>
      <c r="P332" s="9" t="b">
        <f t="shared" si="11"/>
        <v>0</v>
      </c>
    </row>
    <row r="333" spans="1:16" ht="15" x14ac:dyDescent="0.25">
      <c r="A333" s="2" t="s">
        <v>397</v>
      </c>
      <c r="B333" s="2" t="s">
        <v>33</v>
      </c>
      <c r="C333" s="3" t="str">
        <f>VLOOKUP(B333,Dados!$A$3:$B$10,2,FALSE)</f>
        <v>Time 1</v>
      </c>
      <c r="D333" s="2" t="s">
        <v>18</v>
      </c>
      <c r="E333" s="2" t="s">
        <v>25</v>
      </c>
      <c r="F333" s="4" t="s">
        <v>398</v>
      </c>
      <c r="G333" s="5" t="str">
        <f t="shared" si="6"/>
        <v>19737719647</v>
      </c>
      <c r="H333" s="6">
        <v>5239</v>
      </c>
      <c r="I333" s="6">
        <v>1821</v>
      </c>
      <c r="J333" s="7">
        <f t="shared" si="7"/>
        <v>3418</v>
      </c>
      <c r="K333" s="7">
        <f t="shared" si="8"/>
        <v>683.6</v>
      </c>
      <c r="L333" s="7">
        <f t="shared" si="9"/>
        <v>1</v>
      </c>
      <c r="M333" s="7">
        <f>IFERROR(VLOOKUP(G333,'Base de faturamento'!A:C,2,FALSE),0)</f>
        <v>5239</v>
      </c>
      <c r="N333" s="8">
        <f>IFERROR(VLOOKUP(G333,'Base de faturamento'!A:C,3,FALSE),0)</f>
        <v>44648</v>
      </c>
      <c r="O333" s="8">
        <f t="shared" si="10"/>
        <v>44635</v>
      </c>
      <c r="P333" s="8">
        <f t="shared" si="11"/>
        <v>44652</v>
      </c>
    </row>
    <row r="334" spans="1:16" ht="15" x14ac:dyDescent="0.25">
      <c r="A334" s="2" t="s">
        <v>399</v>
      </c>
      <c r="B334" s="2" t="s">
        <v>33</v>
      </c>
      <c r="C334" s="3" t="str">
        <f>VLOOKUP(B334,Dados!$A$3:$B$10,2,FALSE)</f>
        <v>Time 1</v>
      </c>
      <c r="D334" s="2" t="s">
        <v>18</v>
      </c>
      <c r="E334" s="2" t="s">
        <v>19</v>
      </c>
      <c r="F334" s="4" t="s">
        <v>400</v>
      </c>
      <c r="G334" s="5" t="str">
        <f t="shared" si="6"/>
        <v>20211255841</v>
      </c>
      <c r="H334" s="6">
        <v>8494</v>
      </c>
      <c r="I334" s="6">
        <v>0</v>
      </c>
      <c r="J334" s="7">
        <f t="shared" si="7"/>
        <v>8494</v>
      </c>
      <c r="K334" s="7">
        <f t="shared" si="8"/>
        <v>1698.8000000000002</v>
      </c>
      <c r="L334" s="7">
        <f t="shared" si="9"/>
        <v>1</v>
      </c>
      <c r="M334" s="7">
        <f>IFERROR(VLOOKUP(G334,'Base de faturamento'!A:C,2,FALSE),0)</f>
        <v>8494</v>
      </c>
      <c r="N334" s="8">
        <f>IFERROR(VLOOKUP(G334,'Base de faturamento'!A:C,3,FALSE),0)</f>
        <v>44702</v>
      </c>
      <c r="O334" s="8">
        <f t="shared" si="10"/>
        <v>44696</v>
      </c>
      <c r="P334" s="8">
        <f t="shared" si="11"/>
        <v>44713</v>
      </c>
    </row>
    <row r="335" spans="1:16" ht="15" x14ac:dyDescent="0.25">
      <c r="A335" s="2" t="s">
        <v>401</v>
      </c>
      <c r="B335" s="2" t="s">
        <v>29</v>
      </c>
      <c r="C335" s="3" t="str">
        <f>VLOOKUP(B335,Dados!$A$3:$B$10,2,FALSE)</f>
        <v>Time 2</v>
      </c>
      <c r="D335" s="2" t="s">
        <v>18</v>
      </c>
      <c r="E335" s="2" t="s">
        <v>19</v>
      </c>
      <c r="F335" s="4" t="s">
        <v>402</v>
      </c>
      <c r="G335" s="5" t="str">
        <f t="shared" si="6"/>
        <v>21404133734</v>
      </c>
      <c r="H335" s="6">
        <v>3254</v>
      </c>
      <c r="I335" s="6">
        <v>0</v>
      </c>
      <c r="J335" s="7">
        <f t="shared" si="7"/>
        <v>3254</v>
      </c>
      <c r="K335" s="7">
        <f t="shared" si="8"/>
        <v>650.80000000000007</v>
      </c>
      <c r="L335" s="7">
        <f t="shared" si="9"/>
        <v>1</v>
      </c>
      <c r="M335" s="7">
        <f>IFERROR(VLOOKUP(G335,'Base de faturamento'!A:C,2,FALSE),0)</f>
        <v>3254</v>
      </c>
      <c r="N335" s="8">
        <f>IFERROR(VLOOKUP(G335,'Base de faturamento'!A:C,3,FALSE),0)</f>
        <v>44623</v>
      </c>
      <c r="O335" s="8">
        <f t="shared" si="10"/>
        <v>44652</v>
      </c>
      <c r="P335" s="8">
        <f t="shared" si="11"/>
        <v>44652</v>
      </c>
    </row>
    <row r="336" spans="1:16" ht="15" x14ac:dyDescent="0.25">
      <c r="A336" s="2" t="s">
        <v>403</v>
      </c>
      <c r="B336" s="2" t="s">
        <v>24</v>
      </c>
      <c r="C336" s="3" t="str">
        <f>VLOOKUP(B336,Dados!$A$3:$B$10,2,FALSE)</f>
        <v>Time 2</v>
      </c>
      <c r="D336" s="2" t="s">
        <v>22</v>
      </c>
      <c r="E336" s="2" t="s">
        <v>25</v>
      </c>
      <c r="F336" s="4" t="s">
        <v>404</v>
      </c>
      <c r="G336" s="5" t="str">
        <f t="shared" si="6"/>
        <v>21593813426</v>
      </c>
      <c r="H336" s="6">
        <v>6414</v>
      </c>
      <c r="I336" s="6">
        <v>8742</v>
      </c>
      <c r="J336" s="7">
        <f t="shared" si="7"/>
        <v>0</v>
      </c>
      <c r="K336" s="7">
        <f t="shared" si="8"/>
        <v>0</v>
      </c>
      <c r="L336" s="7">
        <f t="shared" si="9"/>
        <v>0</v>
      </c>
      <c r="M336" s="7">
        <f>IFERROR(VLOOKUP(G336,'Base de faturamento'!A:C,2,FALSE),0)</f>
        <v>0</v>
      </c>
      <c r="N336" s="8">
        <f>IFERROR(VLOOKUP(G336,'Base de faturamento'!A:C,3,FALSE),0)</f>
        <v>0</v>
      </c>
      <c r="O336" s="8">
        <f t="shared" si="10"/>
        <v>32</v>
      </c>
      <c r="P336" s="9" t="b">
        <f t="shared" si="11"/>
        <v>0</v>
      </c>
    </row>
    <row r="337" spans="1:16" ht="15" x14ac:dyDescent="0.25">
      <c r="A337" s="2" t="s">
        <v>405</v>
      </c>
      <c r="B337" s="2" t="s">
        <v>29</v>
      </c>
      <c r="C337" s="3" t="str">
        <f>VLOOKUP(B337,Dados!$A$3:$B$10,2,FALSE)</f>
        <v>Time 2</v>
      </c>
      <c r="D337" s="2" t="s">
        <v>22</v>
      </c>
      <c r="E337" s="2" t="s">
        <v>25</v>
      </c>
      <c r="F337" s="4" t="s">
        <v>406</v>
      </c>
      <c r="G337" s="5" t="str">
        <f t="shared" si="6"/>
        <v>21738561130</v>
      </c>
      <c r="H337" s="6">
        <v>3364</v>
      </c>
      <c r="I337" s="6">
        <v>1116</v>
      </c>
      <c r="J337" s="7">
        <f t="shared" si="7"/>
        <v>2248</v>
      </c>
      <c r="K337" s="7">
        <f t="shared" si="8"/>
        <v>674.4</v>
      </c>
      <c r="L337" s="7">
        <f t="shared" si="9"/>
        <v>1</v>
      </c>
      <c r="M337" s="7">
        <f>IFERROR(VLOOKUP(G337,'Base de faturamento'!A:C,2,FALSE),0)</f>
        <v>3364</v>
      </c>
      <c r="N337" s="8">
        <f>IFERROR(VLOOKUP(G337,'Base de faturamento'!A:C,3,FALSE),0)</f>
        <v>44675</v>
      </c>
      <c r="O337" s="8">
        <f t="shared" si="10"/>
        <v>44682</v>
      </c>
      <c r="P337" s="8">
        <f t="shared" si="11"/>
        <v>44682</v>
      </c>
    </row>
    <row r="338" spans="1:16" ht="15" x14ac:dyDescent="0.25">
      <c r="A338" s="2" t="s">
        <v>407</v>
      </c>
      <c r="B338" s="2" t="s">
        <v>36</v>
      </c>
      <c r="C338" s="3" t="str">
        <f>VLOOKUP(B338,Dados!$A$3:$B$10,2,FALSE)</f>
        <v>Time 1</v>
      </c>
      <c r="D338" s="2" t="s">
        <v>18</v>
      </c>
      <c r="E338" s="2" t="s">
        <v>25</v>
      </c>
      <c r="F338" s="4" t="s">
        <v>408</v>
      </c>
      <c r="G338" s="5" t="str">
        <f t="shared" si="6"/>
        <v>22330024275</v>
      </c>
      <c r="H338" s="6">
        <v>1388</v>
      </c>
      <c r="I338" s="6">
        <v>8811</v>
      </c>
      <c r="J338" s="7">
        <f t="shared" si="7"/>
        <v>0</v>
      </c>
      <c r="K338" s="7">
        <f t="shared" si="8"/>
        <v>0</v>
      </c>
      <c r="L338" s="7">
        <f t="shared" si="9"/>
        <v>1</v>
      </c>
      <c r="M338" s="7">
        <f>IFERROR(VLOOKUP(G338,'Base de faturamento'!A:C,2,FALSE),0)</f>
        <v>1388</v>
      </c>
      <c r="N338" s="8">
        <f>IFERROR(VLOOKUP(G338,'Base de faturamento'!A:C,3,FALSE),0)</f>
        <v>44676</v>
      </c>
      <c r="O338" s="8">
        <f t="shared" si="10"/>
        <v>44666</v>
      </c>
      <c r="P338" s="8">
        <f t="shared" si="11"/>
        <v>44682</v>
      </c>
    </row>
    <row r="339" spans="1:16" ht="15" x14ac:dyDescent="0.25">
      <c r="A339" s="2" t="s">
        <v>409</v>
      </c>
      <c r="B339" s="2" t="s">
        <v>33</v>
      </c>
      <c r="C339" s="3" t="str">
        <f>VLOOKUP(B339,Dados!$A$3:$B$10,2,FALSE)</f>
        <v>Time 1</v>
      </c>
      <c r="D339" s="2" t="s">
        <v>18</v>
      </c>
      <c r="E339" s="2" t="s">
        <v>25</v>
      </c>
      <c r="F339" s="4" t="s">
        <v>410</v>
      </c>
      <c r="G339" s="5" t="str">
        <f t="shared" si="6"/>
        <v>22333842682</v>
      </c>
      <c r="H339" s="6">
        <v>3773</v>
      </c>
      <c r="I339" s="6">
        <v>5822</v>
      </c>
      <c r="J339" s="7">
        <f t="shared" si="7"/>
        <v>0</v>
      </c>
      <c r="K339" s="7">
        <f t="shared" si="8"/>
        <v>0</v>
      </c>
      <c r="L339" s="7">
        <f t="shared" si="9"/>
        <v>1</v>
      </c>
      <c r="M339" s="7">
        <f>IFERROR(VLOOKUP(G339,'Base de faturamento'!A:C,2,FALSE),0)</f>
        <v>3773</v>
      </c>
      <c r="N339" s="8">
        <f>IFERROR(VLOOKUP(G339,'Base de faturamento'!A:C,3,FALSE),0)</f>
        <v>44685</v>
      </c>
      <c r="O339" s="8">
        <f t="shared" si="10"/>
        <v>44696</v>
      </c>
      <c r="P339" s="8">
        <f t="shared" si="11"/>
        <v>44713</v>
      </c>
    </row>
    <row r="340" spans="1:16" ht="15" x14ac:dyDescent="0.25">
      <c r="A340" s="2" t="s">
        <v>411</v>
      </c>
      <c r="B340" s="2" t="s">
        <v>17</v>
      </c>
      <c r="C340" s="3" t="str">
        <f>VLOOKUP(B340,Dados!$A$3:$B$10,2,FALSE)</f>
        <v>Time 3</v>
      </c>
      <c r="D340" s="2" t="s">
        <v>22</v>
      </c>
      <c r="E340" s="2" t="s">
        <v>25</v>
      </c>
      <c r="F340" s="4" t="s">
        <v>412</v>
      </c>
      <c r="G340" s="5" t="str">
        <f t="shared" si="6"/>
        <v>22544852110</v>
      </c>
      <c r="H340" s="6">
        <v>5336</v>
      </c>
      <c r="I340" s="6">
        <v>9330</v>
      </c>
      <c r="J340" s="7">
        <f t="shared" si="7"/>
        <v>0</v>
      </c>
      <c r="K340" s="7">
        <f t="shared" si="8"/>
        <v>0</v>
      </c>
      <c r="L340" s="7">
        <f t="shared" si="9"/>
        <v>1</v>
      </c>
      <c r="M340" s="7">
        <f>IFERROR(VLOOKUP(G340,'Base de faturamento'!A:C,2,FALSE),0)</f>
        <v>5336</v>
      </c>
      <c r="N340" s="8">
        <f>IFERROR(VLOOKUP(G340,'Base de faturamento'!A:C,3,FALSE),0)</f>
        <v>44670</v>
      </c>
      <c r="O340" s="8">
        <f t="shared" si="10"/>
        <v>44682</v>
      </c>
      <c r="P340" s="8">
        <f t="shared" si="11"/>
        <v>44682</v>
      </c>
    </row>
    <row r="341" spans="1:16" ht="15" x14ac:dyDescent="0.25">
      <c r="A341" s="2" t="s">
        <v>413</v>
      </c>
      <c r="B341" s="2" t="s">
        <v>24</v>
      </c>
      <c r="C341" s="3" t="str">
        <f>VLOOKUP(B341,Dados!$A$3:$B$10,2,FALSE)</f>
        <v>Time 2</v>
      </c>
      <c r="D341" s="2" t="s">
        <v>22</v>
      </c>
      <c r="E341" s="2" t="s">
        <v>25</v>
      </c>
      <c r="F341" s="4" t="s">
        <v>414</v>
      </c>
      <c r="G341" s="5" t="str">
        <f t="shared" si="6"/>
        <v>23196731653</v>
      </c>
      <c r="H341" s="6">
        <v>1829</v>
      </c>
      <c r="I341" s="6">
        <v>1065</v>
      </c>
      <c r="J341" s="7">
        <f t="shared" si="7"/>
        <v>764</v>
      </c>
      <c r="K341" s="7">
        <f t="shared" si="8"/>
        <v>0</v>
      </c>
      <c r="L341" s="7">
        <f t="shared" si="9"/>
        <v>0</v>
      </c>
      <c r="M341" s="7">
        <f>IFERROR(VLOOKUP(G341,'Base de faturamento'!A:C,2,FALSE),0)</f>
        <v>0</v>
      </c>
      <c r="N341" s="8">
        <f>IFERROR(VLOOKUP(G341,'Base de faturamento'!A:C,3,FALSE),0)</f>
        <v>0</v>
      </c>
      <c r="O341" s="8">
        <f t="shared" si="10"/>
        <v>32</v>
      </c>
      <c r="P341" s="9" t="b">
        <f t="shared" si="11"/>
        <v>0</v>
      </c>
    </row>
    <row r="342" spans="1:16" ht="15" x14ac:dyDescent="0.25">
      <c r="A342" s="2" t="s">
        <v>415</v>
      </c>
      <c r="B342" s="2" t="s">
        <v>24</v>
      </c>
      <c r="C342" s="3" t="str">
        <f>VLOOKUP(B342,Dados!$A$3:$B$10,2,FALSE)</f>
        <v>Time 2</v>
      </c>
      <c r="D342" s="2" t="s">
        <v>22</v>
      </c>
      <c r="E342" s="2" t="s">
        <v>25</v>
      </c>
      <c r="F342" s="4" t="s">
        <v>416</v>
      </c>
      <c r="G342" s="5" t="str">
        <f t="shared" si="6"/>
        <v>23268193885</v>
      </c>
      <c r="H342" s="6">
        <v>4170</v>
      </c>
      <c r="I342" s="6">
        <v>9604</v>
      </c>
      <c r="J342" s="7">
        <f t="shared" si="7"/>
        <v>0</v>
      </c>
      <c r="K342" s="7">
        <f t="shared" si="8"/>
        <v>0</v>
      </c>
      <c r="L342" s="7">
        <f t="shared" si="9"/>
        <v>1</v>
      </c>
      <c r="M342" s="7">
        <f>IFERROR(VLOOKUP(G342,'Base de faturamento'!A:C,2,FALSE),0)</f>
        <v>4170</v>
      </c>
      <c r="N342" s="8">
        <f>IFERROR(VLOOKUP(G342,'Base de faturamento'!A:C,3,FALSE),0)</f>
        <v>44720</v>
      </c>
      <c r="O342" s="8">
        <f t="shared" si="10"/>
        <v>44743</v>
      </c>
      <c r="P342" s="8">
        <f t="shared" si="11"/>
        <v>44743</v>
      </c>
    </row>
    <row r="343" spans="1:16" ht="15" x14ac:dyDescent="0.25">
      <c r="A343" s="2" t="s">
        <v>417</v>
      </c>
      <c r="B343" s="2" t="s">
        <v>21</v>
      </c>
      <c r="C343" s="3" t="str">
        <f>VLOOKUP(B343,Dados!$A$3:$B$10,2,FALSE)</f>
        <v>Time 1</v>
      </c>
      <c r="D343" s="2" t="s">
        <v>22</v>
      </c>
      <c r="E343" s="2" t="s">
        <v>19</v>
      </c>
      <c r="F343" s="4" t="s">
        <v>418</v>
      </c>
      <c r="G343" s="5" t="str">
        <f t="shared" si="6"/>
        <v>23476563251</v>
      </c>
      <c r="H343" s="6">
        <v>2705</v>
      </c>
      <c r="I343" s="6">
        <v>0</v>
      </c>
      <c r="J343" s="7">
        <f t="shared" si="7"/>
        <v>2705</v>
      </c>
      <c r="K343" s="7">
        <f t="shared" si="8"/>
        <v>811.5</v>
      </c>
      <c r="L343" s="7">
        <f t="shared" si="9"/>
        <v>1</v>
      </c>
      <c r="M343" s="7">
        <f>IFERROR(VLOOKUP(G343,'Base de faturamento'!A:C,2,FALSE),0)</f>
        <v>2705</v>
      </c>
      <c r="N343" s="8">
        <f>IFERROR(VLOOKUP(G343,'Base de faturamento'!A:C,3,FALSE),0)</f>
        <v>44667</v>
      </c>
      <c r="O343" s="8">
        <f t="shared" si="10"/>
        <v>44666</v>
      </c>
      <c r="P343" s="8">
        <f t="shared" si="11"/>
        <v>44682</v>
      </c>
    </row>
    <row r="344" spans="1:16" ht="15" x14ac:dyDescent="0.25">
      <c r="A344" s="2" t="s">
        <v>419</v>
      </c>
      <c r="B344" s="2" t="s">
        <v>27</v>
      </c>
      <c r="C344" s="3" t="str">
        <f>VLOOKUP(B344,Dados!$A$3:$B$10,2,FALSE)</f>
        <v>Time 2</v>
      </c>
      <c r="D344" s="2" t="s">
        <v>22</v>
      </c>
      <c r="E344" s="2" t="s">
        <v>19</v>
      </c>
      <c r="F344" s="4" t="s">
        <v>420</v>
      </c>
      <c r="G344" s="5" t="str">
        <f t="shared" si="6"/>
        <v>23629605405</v>
      </c>
      <c r="H344" s="6">
        <v>6485</v>
      </c>
      <c r="I344" s="6">
        <v>0</v>
      </c>
      <c r="J344" s="7">
        <f t="shared" si="7"/>
        <v>6485</v>
      </c>
      <c r="K344" s="7">
        <f t="shared" si="8"/>
        <v>1945.5</v>
      </c>
      <c r="L344" s="7">
        <f t="shared" si="9"/>
        <v>1</v>
      </c>
      <c r="M344" s="7">
        <f>IFERROR(VLOOKUP(G344,'Base de faturamento'!A:C,2,FALSE),0)</f>
        <v>6485</v>
      </c>
      <c r="N344" s="8">
        <f>IFERROR(VLOOKUP(G344,'Base de faturamento'!A:C,3,FALSE),0)</f>
        <v>44651</v>
      </c>
      <c r="O344" s="8">
        <f t="shared" si="10"/>
        <v>44652</v>
      </c>
      <c r="P344" s="8">
        <f t="shared" si="11"/>
        <v>44652</v>
      </c>
    </row>
    <row r="345" spans="1:16" ht="15" x14ac:dyDescent="0.25">
      <c r="A345" s="2" t="s">
        <v>421</v>
      </c>
      <c r="B345" s="2" t="s">
        <v>29</v>
      </c>
      <c r="C345" s="3" t="str">
        <f>VLOOKUP(B345,Dados!$A$3:$B$10,2,FALSE)</f>
        <v>Time 2</v>
      </c>
      <c r="D345" s="2" t="s">
        <v>22</v>
      </c>
      <c r="E345" s="2" t="s">
        <v>25</v>
      </c>
      <c r="F345" s="4" t="s">
        <v>422</v>
      </c>
      <c r="G345" s="5" t="str">
        <f t="shared" si="6"/>
        <v>24058499688</v>
      </c>
      <c r="H345" s="6">
        <v>1347</v>
      </c>
      <c r="I345" s="6">
        <v>9048</v>
      </c>
      <c r="J345" s="7">
        <f t="shared" si="7"/>
        <v>0</v>
      </c>
      <c r="K345" s="7">
        <f t="shared" si="8"/>
        <v>0</v>
      </c>
      <c r="L345" s="7">
        <f t="shared" si="9"/>
        <v>1</v>
      </c>
      <c r="M345" s="7">
        <f>IFERROR(VLOOKUP(G345,'Base de faturamento'!A:C,2,FALSE),0)</f>
        <v>1347</v>
      </c>
      <c r="N345" s="8">
        <f>IFERROR(VLOOKUP(G345,'Base de faturamento'!A:C,3,FALSE),0)</f>
        <v>44635</v>
      </c>
      <c r="O345" s="8">
        <f t="shared" si="10"/>
        <v>44652</v>
      </c>
      <c r="P345" s="8">
        <f t="shared" si="11"/>
        <v>44652</v>
      </c>
    </row>
    <row r="346" spans="1:16" ht="15" x14ac:dyDescent="0.25">
      <c r="A346" s="2" t="s">
        <v>423</v>
      </c>
      <c r="B346" s="2" t="s">
        <v>17</v>
      </c>
      <c r="C346" s="3" t="str">
        <f>VLOOKUP(B346,Dados!$A$3:$B$10,2,FALSE)</f>
        <v>Time 3</v>
      </c>
      <c r="D346" s="2" t="s">
        <v>22</v>
      </c>
      <c r="E346" s="2" t="s">
        <v>25</v>
      </c>
      <c r="F346" s="4" t="s">
        <v>424</v>
      </c>
      <c r="G346" s="5" t="str">
        <f t="shared" si="6"/>
        <v>24218694968</v>
      </c>
      <c r="H346" s="6">
        <v>9062</v>
      </c>
      <c r="I346" s="6">
        <v>1862</v>
      </c>
      <c r="J346" s="7">
        <f t="shared" si="7"/>
        <v>7200</v>
      </c>
      <c r="K346" s="7">
        <f t="shared" si="8"/>
        <v>0</v>
      </c>
      <c r="L346" s="7">
        <f t="shared" si="9"/>
        <v>0</v>
      </c>
      <c r="M346" s="7">
        <f>IFERROR(VLOOKUP(G346,'Base de faturamento'!A:C,2,FALSE),0)</f>
        <v>0</v>
      </c>
      <c r="N346" s="8">
        <f>IFERROR(VLOOKUP(G346,'Base de faturamento'!A:C,3,FALSE),0)</f>
        <v>0</v>
      </c>
      <c r="O346" s="8">
        <f t="shared" si="10"/>
        <v>32</v>
      </c>
      <c r="P346" s="9" t="b">
        <f t="shared" si="11"/>
        <v>0</v>
      </c>
    </row>
    <row r="347" spans="1:16" ht="15" x14ac:dyDescent="0.25">
      <c r="A347" s="2" t="s">
        <v>425</v>
      </c>
      <c r="B347" s="2" t="s">
        <v>24</v>
      </c>
      <c r="C347" s="3" t="str">
        <f>VLOOKUP(B347,Dados!$A$3:$B$10,2,FALSE)</f>
        <v>Time 2</v>
      </c>
      <c r="D347" s="2" t="s">
        <v>18</v>
      </c>
      <c r="E347" s="2" t="s">
        <v>19</v>
      </c>
      <c r="F347" s="4" t="s">
        <v>426</v>
      </c>
      <c r="G347" s="5" t="str">
        <f t="shared" si="6"/>
        <v>24641072647</v>
      </c>
      <c r="H347" s="6">
        <v>5333</v>
      </c>
      <c r="I347" s="6">
        <v>0</v>
      </c>
      <c r="J347" s="7">
        <f t="shared" si="7"/>
        <v>5333</v>
      </c>
      <c r="K347" s="7">
        <f t="shared" si="8"/>
        <v>1066.6000000000001</v>
      </c>
      <c r="L347" s="7">
        <f t="shared" si="9"/>
        <v>1</v>
      </c>
      <c r="M347" s="7">
        <f>IFERROR(VLOOKUP(G347,'Base de faturamento'!A:C,2,FALSE),0)</f>
        <v>5333</v>
      </c>
      <c r="N347" s="8">
        <f>IFERROR(VLOOKUP(G347,'Base de faturamento'!A:C,3,FALSE),0)</f>
        <v>44671</v>
      </c>
      <c r="O347" s="8">
        <f t="shared" si="10"/>
        <v>44682</v>
      </c>
      <c r="P347" s="8">
        <f t="shared" si="11"/>
        <v>44682</v>
      </c>
    </row>
    <row r="348" spans="1:16" ht="15" x14ac:dyDescent="0.25">
      <c r="A348" s="2" t="s">
        <v>427</v>
      </c>
      <c r="B348" s="2" t="s">
        <v>29</v>
      </c>
      <c r="C348" s="3" t="str">
        <f>VLOOKUP(B348,Dados!$A$3:$B$10,2,FALSE)</f>
        <v>Time 2</v>
      </c>
      <c r="D348" s="2" t="s">
        <v>18</v>
      </c>
      <c r="E348" s="2" t="s">
        <v>25</v>
      </c>
      <c r="F348" s="4" t="s">
        <v>428</v>
      </c>
      <c r="G348" s="5" t="str">
        <f t="shared" si="6"/>
        <v>25247819897</v>
      </c>
      <c r="H348" s="6">
        <v>4864</v>
      </c>
      <c r="I348" s="6">
        <v>6495</v>
      </c>
      <c r="J348" s="7">
        <f t="shared" si="7"/>
        <v>0</v>
      </c>
      <c r="K348" s="7">
        <f t="shared" si="8"/>
        <v>0</v>
      </c>
      <c r="L348" s="7">
        <f t="shared" si="9"/>
        <v>1</v>
      </c>
      <c r="M348" s="7">
        <f>IFERROR(VLOOKUP(G348,'Base de faturamento'!A:C,2,FALSE),0)</f>
        <v>4864</v>
      </c>
      <c r="N348" s="8">
        <f>IFERROR(VLOOKUP(G348,'Base de faturamento'!A:C,3,FALSE),0)</f>
        <v>44732</v>
      </c>
      <c r="O348" s="8">
        <f t="shared" si="10"/>
        <v>44743</v>
      </c>
      <c r="P348" s="8">
        <f t="shared" si="11"/>
        <v>44743</v>
      </c>
    </row>
    <row r="349" spans="1:16" ht="15" x14ac:dyDescent="0.25">
      <c r="A349" s="2" t="s">
        <v>429</v>
      </c>
      <c r="B349" s="2" t="s">
        <v>31</v>
      </c>
      <c r="C349" s="3" t="str">
        <f>VLOOKUP(B349,Dados!$A$3:$B$10,2,FALSE)</f>
        <v>Time 3</v>
      </c>
      <c r="D349" s="2" t="s">
        <v>18</v>
      </c>
      <c r="E349" s="2" t="s">
        <v>19</v>
      </c>
      <c r="F349" s="4" t="s">
        <v>430</v>
      </c>
      <c r="G349" s="5" t="str">
        <f t="shared" si="6"/>
        <v>25574541498</v>
      </c>
      <c r="H349" s="6">
        <v>8239</v>
      </c>
      <c r="I349" s="6">
        <v>0</v>
      </c>
      <c r="J349" s="7">
        <f t="shared" si="7"/>
        <v>8239</v>
      </c>
      <c r="K349" s="7">
        <f t="shared" si="8"/>
        <v>1647.8000000000002</v>
      </c>
      <c r="L349" s="7">
        <f t="shared" si="9"/>
        <v>1</v>
      </c>
      <c r="M349" s="7">
        <f>IFERROR(VLOOKUP(G349,'Base de faturamento'!A:C,2,FALSE),0)</f>
        <v>8239</v>
      </c>
      <c r="N349" s="8">
        <f>IFERROR(VLOOKUP(G349,'Base de faturamento'!A:C,3,FALSE),0)</f>
        <v>44721</v>
      </c>
      <c r="O349" s="8">
        <f t="shared" si="10"/>
        <v>44743</v>
      </c>
      <c r="P349" s="8">
        <f t="shared" si="11"/>
        <v>44743</v>
      </c>
    </row>
    <row r="350" spans="1:16" ht="15" x14ac:dyDescent="0.25">
      <c r="A350" s="2" t="s">
        <v>431</v>
      </c>
      <c r="B350" s="2" t="s">
        <v>24</v>
      </c>
      <c r="C350" s="3" t="str">
        <f>VLOOKUP(B350,Dados!$A$3:$B$10,2,FALSE)</f>
        <v>Time 2</v>
      </c>
      <c r="D350" s="2" t="s">
        <v>18</v>
      </c>
      <c r="E350" s="2" t="s">
        <v>19</v>
      </c>
      <c r="F350" s="4" t="s">
        <v>432</v>
      </c>
      <c r="G350" s="5" t="str">
        <f t="shared" si="6"/>
        <v>26121438552</v>
      </c>
      <c r="H350" s="6">
        <v>7490</v>
      </c>
      <c r="I350" s="6">
        <v>0</v>
      </c>
      <c r="J350" s="7">
        <f t="shared" si="7"/>
        <v>7490</v>
      </c>
      <c r="K350" s="7">
        <f t="shared" si="8"/>
        <v>1498</v>
      </c>
      <c r="L350" s="7">
        <f t="shared" si="9"/>
        <v>1</v>
      </c>
      <c r="M350" s="7">
        <f>IFERROR(VLOOKUP(G350,'Base de faturamento'!A:C,2,FALSE),0)</f>
        <v>7490</v>
      </c>
      <c r="N350" s="8">
        <f>IFERROR(VLOOKUP(G350,'Base de faturamento'!A:C,3,FALSE),0)</f>
        <v>44633</v>
      </c>
      <c r="O350" s="8">
        <f t="shared" si="10"/>
        <v>44652</v>
      </c>
      <c r="P350" s="8">
        <f t="shared" si="11"/>
        <v>44652</v>
      </c>
    </row>
    <row r="351" spans="1:16" ht="15" x14ac:dyDescent="0.25">
      <c r="A351" s="2" t="s">
        <v>433</v>
      </c>
      <c r="B351" s="2" t="s">
        <v>24</v>
      </c>
      <c r="C351" s="3" t="str">
        <f>VLOOKUP(B351,Dados!$A$3:$B$10,2,FALSE)</f>
        <v>Time 2</v>
      </c>
      <c r="D351" s="2" t="s">
        <v>22</v>
      </c>
      <c r="E351" s="2" t="s">
        <v>19</v>
      </c>
      <c r="F351" s="4" t="s">
        <v>434</v>
      </c>
      <c r="G351" s="5" t="str">
        <f t="shared" si="6"/>
        <v>26461515686</v>
      </c>
      <c r="H351" s="6">
        <v>3046</v>
      </c>
      <c r="I351" s="6">
        <v>0</v>
      </c>
      <c r="J351" s="7">
        <f t="shared" si="7"/>
        <v>3046</v>
      </c>
      <c r="K351" s="7">
        <f t="shared" si="8"/>
        <v>913.8</v>
      </c>
      <c r="L351" s="7">
        <f t="shared" si="9"/>
        <v>1</v>
      </c>
      <c r="M351" s="7">
        <f>IFERROR(VLOOKUP(G351,'Base de faturamento'!A:C,2,FALSE),0)</f>
        <v>3046</v>
      </c>
      <c r="N351" s="8">
        <f>IFERROR(VLOOKUP(G351,'Base de faturamento'!A:C,3,FALSE),0)</f>
        <v>44692</v>
      </c>
      <c r="O351" s="8">
        <f t="shared" si="10"/>
        <v>44713</v>
      </c>
      <c r="P351" s="8">
        <f t="shared" si="11"/>
        <v>44713</v>
      </c>
    </row>
    <row r="352" spans="1:16" ht="15" x14ac:dyDescent="0.25">
      <c r="A352" s="2" t="s">
        <v>435</v>
      </c>
      <c r="B352" s="2" t="s">
        <v>33</v>
      </c>
      <c r="C352" s="3" t="str">
        <f>VLOOKUP(B352,Dados!$A$3:$B$10,2,FALSE)</f>
        <v>Time 1</v>
      </c>
      <c r="D352" s="2" t="s">
        <v>18</v>
      </c>
      <c r="E352" s="2" t="s">
        <v>25</v>
      </c>
      <c r="F352" s="4" t="s">
        <v>436</v>
      </c>
      <c r="G352" s="5" t="str">
        <f t="shared" si="6"/>
        <v>27312941637</v>
      </c>
      <c r="H352" s="6">
        <v>3550</v>
      </c>
      <c r="I352" s="6">
        <v>7062</v>
      </c>
      <c r="J352" s="7">
        <f t="shared" si="7"/>
        <v>0</v>
      </c>
      <c r="K352" s="7">
        <f t="shared" si="8"/>
        <v>0</v>
      </c>
      <c r="L352" s="7">
        <f t="shared" si="9"/>
        <v>1</v>
      </c>
      <c r="M352" s="7">
        <f>IFERROR(VLOOKUP(G352,'Base de faturamento'!A:C,2,FALSE),0)</f>
        <v>3550</v>
      </c>
      <c r="N352" s="8">
        <f>IFERROR(VLOOKUP(G352,'Base de faturamento'!A:C,3,FALSE),0)</f>
        <v>44641</v>
      </c>
      <c r="O352" s="8">
        <f t="shared" si="10"/>
        <v>44635</v>
      </c>
      <c r="P352" s="8">
        <f t="shared" si="11"/>
        <v>44652</v>
      </c>
    </row>
    <row r="353" spans="1:16" ht="15" x14ac:dyDescent="0.25">
      <c r="A353" s="2" t="s">
        <v>437</v>
      </c>
      <c r="B353" s="2" t="s">
        <v>31</v>
      </c>
      <c r="C353" s="3" t="str">
        <f>VLOOKUP(B353,Dados!$A$3:$B$10,2,FALSE)</f>
        <v>Time 3</v>
      </c>
      <c r="D353" s="2" t="s">
        <v>18</v>
      </c>
      <c r="E353" s="2" t="s">
        <v>19</v>
      </c>
      <c r="F353" s="4" t="s">
        <v>438</v>
      </c>
      <c r="G353" s="5" t="str">
        <f t="shared" si="6"/>
        <v>27475439920</v>
      </c>
      <c r="H353" s="6">
        <v>2210</v>
      </c>
      <c r="I353" s="6">
        <v>0</v>
      </c>
      <c r="J353" s="7">
        <f t="shared" si="7"/>
        <v>2210</v>
      </c>
      <c r="K353" s="7">
        <f t="shared" si="8"/>
        <v>442</v>
      </c>
      <c r="L353" s="7">
        <f t="shared" si="9"/>
        <v>1</v>
      </c>
      <c r="M353" s="7">
        <f>IFERROR(VLOOKUP(G353,'Base de faturamento'!A:C,2,FALSE),0)</f>
        <v>2210</v>
      </c>
      <c r="N353" s="8">
        <f>IFERROR(VLOOKUP(G353,'Base de faturamento'!A:C,3,FALSE),0)</f>
        <v>44645</v>
      </c>
      <c r="O353" s="8">
        <f t="shared" si="10"/>
        <v>44652</v>
      </c>
      <c r="P353" s="8">
        <f t="shared" si="11"/>
        <v>44652</v>
      </c>
    </row>
    <row r="354" spans="1:16" ht="15" x14ac:dyDescent="0.25">
      <c r="A354" s="2" t="s">
        <v>439</v>
      </c>
      <c r="B354" s="2" t="s">
        <v>21</v>
      </c>
      <c r="C354" s="3" t="str">
        <f>VLOOKUP(B354,Dados!$A$3:$B$10,2,FALSE)</f>
        <v>Time 1</v>
      </c>
      <c r="D354" s="2" t="s">
        <v>18</v>
      </c>
      <c r="E354" s="2" t="s">
        <v>25</v>
      </c>
      <c r="F354" s="4" t="s">
        <v>440</v>
      </c>
      <c r="G354" s="5" t="str">
        <f t="shared" si="6"/>
        <v>27507760081</v>
      </c>
      <c r="H354" s="6">
        <v>7484</v>
      </c>
      <c r="I354" s="6">
        <v>5316</v>
      </c>
      <c r="J354" s="7">
        <f t="shared" si="7"/>
        <v>2168</v>
      </c>
      <c r="K354" s="7">
        <f t="shared" si="8"/>
        <v>433.6</v>
      </c>
      <c r="L354" s="7">
        <f t="shared" si="9"/>
        <v>1</v>
      </c>
      <c r="M354" s="7">
        <f>IFERROR(VLOOKUP(G354,'Base de faturamento'!A:C,2,FALSE),0)</f>
        <v>7484</v>
      </c>
      <c r="N354" s="8">
        <f>IFERROR(VLOOKUP(G354,'Base de faturamento'!A:C,3,FALSE),0)</f>
        <v>44688</v>
      </c>
      <c r="O354" s="8">
        <f t="shared" si="10"/>
        <v>44696</v>
      </c>
      <c r="P354" s="8">
        <f t="shared" si="11"/>
        <v>44713</v>
      </c>
    </row>
    <row r="355" spans="1:16" ht="15" x14ac:dyDescent="0.25">
      <c r="A355" s="2" t="s">
        <v>441</v>
      </c>
      <c r="B355" s="2" t="s">
        <v>29</v>
      </c>
      <c r="C355" s="3" t="str">
        <f>VLOOKUP(B355,Dados!$A$3:$B$10,2,FALSE)</f>
        <v>Time 2</v>
      </c>
      <c r="D355" s="2" t="s">
        <v>22</v>
      </c>
      <c r="E355" s="2" t="s">
        <v>19</v>
      </c>
      <c r="F355" s="4" t="s">
        <v>442</v>
      </c>
      <c r="G355" s="5" t="str">
        <f t="shared" si="6"/>
        <v>27761556553</v>
      </c>
      <c r="H355" s="6">
        <v>8191</v>
      </c>
      <c r="I355" s="6">
        <v>0</v>
      </c>
      <c r="J355" s="7">
        <f t="shared" si="7"/>
        <v>8191</v>
      </c>
      <c r="K355" s="7">
        <f t="shared" si="8"/>
        <v>2457.2999999999997</v>
      </c>
      <c r="L355" s="7">
        <f t="shared" si="9"/>
        <v>1</v>
      </c>
      <c r="M355" s="7">
        <f>IFERROR(VLOOKUP(G355,'Base de faturamento'!A:C,2,FALSE),0)</f>
        <v>8191</v>
      </c>
      <c r="N355" s="8">
        <f>IFERROR(VLOOKUP(G355,'Base de faturamento'!A:C,3,FALSE),0)</f>
        <v>44672</v>
      </c>
      <c r="O355" s="8">
        <f t="shared" si="10"/>
        <v>44682</v>
      </c>
      <c r="P355" s="8">
        <f t="shared" si="11"/>
        <v>44682</v>
      </c>
    </row>
    <row r="356" spans="1:16" ht="15" x14ac:dyDescent="0.25">
      <c r="A356" s="2" t="s">
        <v>443</v>
      </c>
      <c r="B356" s="2" t="s">
        <v>36</v>
      </c>
      <c r="C356" s="3" t="str">
        <f>VLOOKUP(B356,Dados!$A$3:$B$10,2,FALSE)</f>
        <v>Time 1</v>
      </c>
      <c r="D356" s="2" t="s">
        <v>18</v>
      </c>
      <c r="E356" s="2" t="s">
        <v>19</v>
      </c>
      <c r="F356" s="4" t="s">
        <v>444</v>
      </c>
      <c r="G356" s="5" t="str">
        <f t="shared" si="6"/>
        <v>27897068340</v>
      </c>
      <c r="H356" s="6">
        <v>4843</v>
      </c>
      <c r="I356" s="6">
        <v>0</v>
      </c>
      <c r="J356" s="7">
        <f t="shared" si="7"/>
        <v>4843</v>
      </c>
      <c r="K356" s="7">
        <f t="shared" si="8"/>
        <v>968.6</v>
      </c>
      <c r="L356" s="7">
        <f t="shared" si="9"/>
        <v>1</v>
      </c>
      <c r="M356" s="7">
        <f>IFERROR(VLOOKUP(G356,'Base de faturamento'!A:C,2,FALSE),0)</f>
        <v>4843</v>
      </c>
      <c r="N356" s="8">
        <f>IFERROR(VLOOKUP(G356,'Base de faturamento'!A:C,3,FALSE),0)</f>
        <v>44633</v>
      </c>
      <c r="O356" s="8">
        <f t="shared" si="10"/>
        <v>44635</v>
      </c>
      <c r="P356" s="8">
        <f t="shared" si="11"/>
        <v>44652</v>
      </c>
    </row>
    <row r="357" spans="1:16" ht="15" x14ac:dyDescent="0.25">
      <c r="A357" s="2" t="s">
        <v>445</v>
      </c>
      <c r="B357" s="2" t="s">
        <v>24</v>
      </c>
      <c r="C357" s="3" t="str">
        <f>VLOOKUP(B357,Dados!$A$3:$B$10,2,FALSE)</f>
        <v>Time 2</v>
      </c>
      <c r="D357" s="2" t="s">
        <v>18</v>
      </c>
      <c r="E357" s="2" t="s">
        <v>25</v>
      </c>
      <c r="F357" s="4" t="s">
        <v>446</v>
      </c>
      <c r="G357" s="5" t="str">
        <f t="shared" si="6"/>
        <v>28229221006</v>
      </c>
      <c r="H357" s="6">
        <v>6905</v>
      </c>
      <c r="I357" s="6">
        <v>6777</v>
      </c>
      <c r="J357" s="7">
        <f t="shared" si="7"/>
        <v>128</v>
      </c>
      <c r="K357" s="7">
        <f t="shared" si="8"/>
        <v>25.6</v>
      </c>
      <c r="L357" s="7">
        <f t="shared" si="9"/>
        <v>1</v>
      </c>
      <c r="M357" s="7">
        <f>IFERROR(VLOOKUP(G357,'Base de faturamento'!A:C,2,FALSE),0)</f>
        <v>6905</v>
      </c>
      <c r="N357" s="8">
        <f>IFERROR(VLOOKUP(G357,'Base de faturamento'!A:C,3,FALSE),0)</f>
        <v>44703</v>
      </c>
      <c r="O357" s="8">
        <f t="shared" si="10"/>
        <v>44713</v>
      </c>
      <c r="P357" s="8">
        <f t="shared" si="11"/>
        <v>44713</v>
      </c>
    </row>
    <row r="358" spans="1:16" ht="15" x14ac:dyDescent="0.25">
      <c r="A358" s="2" t="s">
        <v>447</v>
      </c>
      <c r="B358" s="2" t="s">
        <v>31</v>
      </c>
      <c r="C358" s="3" t="str">
        <f>VLOOKUP(B358,Dados!$A$3:$B$10,2,FALSE)</f>
        <v>Time 3</v>
      </c>
      <c r="D358" s="2" t="s">
        <v>18</v>
      </c>
      <c r="E358" s="2" t="s">
        <v>25</v>
      </c>
      <c r="F358" s="4" t="s">
        <v>448</v>
      </c>
      <c r="G358" s="5" t="str">
        <f t="shared" si="6"/>
        <v>28401666026</v>
      </c>
      <c r="H358" s="6">
        <v>8277</v>
      </c>
      <c r="I358" s="6">
        <v>1014</v>
      </c>
      <c r="J358" s="7">
        <f t="shared" si="7"/>
        <v>7263</v>
      </c>
      <c r="K358" s="7">
        <f t="shared" si="8"/>
        <v>1452.6000000000001</v>
      </c>
      <c r="L358" s="7">
        <f t="shared" si="9"/>
        <v>1</v>
      </c>
      <c r="M358" s="7">
        <f>IFERROR(VLOOKUP(G358,'Base de faturamento'!A:C,2,FALSE),0)</f>
        <v>8277</v>
      </c>
      <c r="N358" s="8">
        <f>IFERROR(VLOOKUP(G358,'Base de faturamento'!A:C,3,FALSE),0)</f>
        <v>44665</v>
      </c>
      <c r="O358" s="8">
        <f t="shared" si="10"/>
        <v>44682</v>
      </c>
      <c r="P358" s="8">
        <f t="shared" si="11"/>
        <v>44682</v>
      </c>
    </row>
    <row r="359" spans="1:16" ht="15" x14ac:dyDescent="0.25">
      <c r="A359" s="2" t="s">
        <v>449</v>
      </c>
      <c r="B359" s="2" t="s">
        <v>21</v>
      </c>
      <c r="C359" s="3" t="str">
        <f>VLOOKUP(B359,Dados!$A$3:$B$10,2,FALSE)</f>
        <v>Time 1</v>
      </c>
      <c r="D359" s="2" t="s">
        <v>18</v>
      </c>
      <c r="E359" s="2" t="s">
        <v>19</v>
      </c>
      <c r="F359" s="4" t="s">
        <v>450</v>
      </c>
      <c r="G359" s="5" t="str">
        <f t="shared" si="6"/>
        <v>28591860000</v>
      </c>
      <c r="H359" s="6">
        <v>8264</v>
      </c>
      <c r="I359" s="6">
        <v>0</v>
      </c>
      <c r="J359" s="7">
        <f t="shared" si="7"/>
        <v>8264</v>
      </c>
      <c r="K359" s="7">
        <f t="shared" si="8"/>
        <v>1652.8000000000002</v>
      </c>
      <c r="L359" s="7">
        <f t="shared" si="9"/>
        <v>1</v>
      </c>
      <c r="M359" s="7">
        <f>IFERROR(VLOOKUP(G359,'Base de faturamento'!A:C,2,FALSE),0)</f>
        <v>8264</v>
      </c>
      <c r="N359" s="8">
        <f>IFERROR(VLOOKUP(G359,'Base de faturamento'!A:C,3,FALSE),0)</f>
        <v>44709</v>
      </c>
      <c r="O359" s="8">
        <f t="shared" si="10"/>
        <v>44696</v>
      </c>
      <c r="P359" s="8">
        <f t="shared" si="11"/>
        <v>44713</v>
      </c>
    </row>
    <row r="360" spans="1:16" ht="15" x14ac:dyDescent="0.25">
      <c r="A360" s="2" t="s">
        <v>451</v>
      </c>
      <c r="B360" s="2" t="s">
        <v>17</v>
      </c>
      <c r="C360" s="3" t="str">
        <f>VLOOKUP(B360,Dados!$A$3:$B$10,2,FALSE)</f>
        <v>Time 3</v>
      </c>
      <c r="D360" s="2" t="s">
        <v>18</v>
      </c>
      <c r="E360" s="2" t="s">
        <v>25</v>
      </c>
      <c r="F360" s="4" t="s">
        <v>452</v>
      </c>
      <c r="G360" s="5" t="str">
        <f t="shared" si="6"/>
        <v>28734645645</v>
      </c>
      <c r="H360" s="6">
        <v>3417</v>
      </c>
      <c r="I360" s="6">
        <v>5770</v>
      </c>
      <c r="J360" s="7">
        <f t="shared" si="7"/>
        <v>0</v>
      </c>
      <c r="K360" s="7">
        <f t="shared" si="8"/>
        <v>0</v>
      </c>
      <c r="L360" s="7">
        <f t="shared" si="9"/>
        <v>1</v>
      </c>
      <c r="M360" s="7">
        <f>IFERROR(VLOOKUP(G360,'Base de faturamento'!A:C,2,FALSE),0)</f>
        <v>3417</v>
      </c>
      <c r="N360" s="8">
        <f>IFERROR(VLOOKUP(G360,'Base de faturamento'!A:C,3,FALSE),0)</f>
        <v>44632</v>
      </c>
      <c r="O360" s="8">
        <f t="shared" si="10"/>
        <v>44652</v>
      </c>
      <c r="P360" s="8">
        <f t="shared" si="11"/>
        <v>44652</v>
      </c>
    </row>
    <row r="361" spans="1:16" ht="15" x14ac:dyDescent="0.25">
      <c r="A361" s="2" t="s">
        <v>453</v>
      </c>
      <c r="B361" s="2" t="s">
        <v>24</v>
      </c>
      <c r="C361" s="3" t="str">
        <f>VLOOKUP(B361,Dados!$A$3:$B$10,2,FALSE)</f>
        <v>Time 2</v>
      </c>
      <c r="D361" s="2" t="s">
        <v>18</v>
      </c>
      <c r="E361" s="2" t="s">
        <v>25</v>
      </c>
      <c r="F361" s="4" t="s">
        <v>454</v>
      </c>
      <c r="G361" s="5" t="str">
        <f t="shared" si="6"/>
        <v>28995879361</v>
      </c>
      <c r="H361" s="6">
        <v>4568</v>
      </c>
      <c r="I361" s="6">
        <v>4059</v>
      </c>
      <c r="J361" s="7">
        <f t="shared" si="7"/>
        <v>509</v>
      </c>
      <c r="K361" s="7">
        <f t="shared" si="8"/>
        <v>101.80000000000001</v>
      </c>
      <c r="L361" s="7">
        <f t="shared" si="9"/>
        <v>1</v>
      </c>
      <c r="M361" s="7">
        <f>IFERROR(VLOOKUP(G361,'Base de faturamento'!A:C,2,FALSE),0)</f>
        <v>4568</v>
      </c>
      <c r="N361" s="8">
        <f>IFERROR(VLOOKUP(G361,'Base de faturamento'!A:C,3,FALSE),0)</f>
        <v>44671</v>
      </c>
      <c r="O361" s="8">
        <f t="shared" si="10"/>
        <v>44682</v>
      </c>
      <c r="P361" s="8">
        <f t="shared" si="11"/>
        <v>44682</v>
      </c>
    </row>
    <row r="362" spans="1:16" ht="15" x14ac:dyDescent="0.25">
      <c r="A362" s="2" t="s">
        <v>455</v>
      </c>
      <c r="B362" s="2" t="s">
        <v>17</v>
      </c>
      <c r="C362" s="3" t="str">
        <f>VLOOKUP(B362,Dados!$A$3:$B$10,2,FALSE)</f>
        <v>Time 3</v>
      </c>
      <c r="D362" s="2" t="s">
        <v>22</v>
      </c>
      <c r="E362" s="2" t="s">
        <v>19</v>
      </c>
      <c r="F362" s="4" t="s">
        <v>456</v>
      </c>
      <c r="G362" s="5" t="str">
        <f t="shared" si="6"/>
        <v>29291413528</v>
      </c>
      <c r="H362" s="6">
        <v>3692</v>
      </c>
      <c r="I362" s="6">
        <v>0</v>
      </c>
      <c r="J362" s="7">
        <f t="shared" si="7"/>
        <v>3692</v>
      </c>
      <c r="K362" s="7">
        <f t="shared" si="8"/>
        <v>1107.5999999999999</v>
      </c>
      <c r="L362" s="7">
        <f t="shared" si="9"/>
        <v>1</v>
      </c>
      <c r="M362" s="7">
        <f>IFERROR(VLOOKUP(G362,'Base de faturamento'!A:C,2,FALSE),0)</f>
        <v>3692</v>
      </c>
      <c r="N362" s="8">
        <f>IFERROR(VLOOKUP(G362,'Base de faturamento'!A:C,3,FALSE),0)</f>
        <v>44709</v>
      </c>
      <c r="O362" s="8">
        <f t="shared" si="10"/>
        <v>44713</v>
      </c>
      <c r="P362" s="8">
        <f t="shared" si="11"/>
        <v>44713</v>
      </c>
    </row>
    <row r="363" spans="1:16" ht="15" x14ac:dyDescent="0.25">
      <c r="A363" s="2" t="s">
        <v>457</v>
      </c>
      <c r="B363" s="2" t="s">
        <v>17</v>
      </c>
      <c r="C363" s="3" t="str">
        <f>VLOOKUP(B363,Dados!$A$3:$B$10,2,FALSE)</f>
        <v>Time 3</v>
      </c>
      <c r="D363" s="2" t="s">
        <v>22</v>
      </c>
      <c r="E363" s="2" t="s">
        <v>25</v>
      </c>
      <c r="F363" s="4" t="s">
        <v>458</v>
      </c>
      <c r="G363" s="5" t="str">
        <f t="shared" si="6"/>
        <v>29493387636</v>
      </c>
      <c r="H363" s="6">
        <v>4504</v>
      </c>
      <c r="I363" s="6">
        <v>6773</v>
      </c>
      <c r="J363" s="7">
        <f t="shared" si="7"/>
        <v>0</v>
      </c>
      <c r="K363" s="7">
        <f t="shared" si="8"/>
        <v>0</v>
      </c>
      <c r="L363" s="7">
        <f t="shared" si="9"/>
        <v>0</v>
      </c>
      <c r="M363" s="7">
        <f>IFERROR(VLOOKUP(G363,'Base de faturamento'!A:C,2,FALSE),0)</f>
        <v>0</v>
      </c>
      <c r="N363" s="8">
        <f>IFERROR(VLOOKUP(G363,'Base de faturamento'!A:C,3,FALSE),0)</f>
        <v>0</v>
      </c>
      <c r="O363" s="8">
        <f t="shared" si="10"/>
        <v>32</v>
      </c>
      <c r="P363" s="9" t="b">
        <f t="shared" si="11"/>
        <v>0</v>
      </c>
    </row>
    <row r="364" spans="1:16" ht="15" x14ac:dyDescent="0.25">
      <c r="A364" s="2" t="s">
        <v>459</v>
      </c>
      <c r="B364" s="2" t="s">
        <v>24</v>
      </c>
      <c r="C364" s="3" t="str">
        <f>VLOOKUP(B364,Dados!$A$3:$B$10,2,FALSE)</f>
        <v>Time 2</v>
      </c>
      <c r="D364" s="2" t="s">
        <v>22</v>
      </c>
      <c r="E364" s="2" t="s">
        <v>25</v>
      </c>
      <c r="F364" s="4" t="s">
        <v>460</v>
      </c>
      <c r="G364" s="5" t="str">
        <f t="shared" si="6"/>
        <v>29646971976</v>
      </c>
      <c r="H364" s="6">
        <v>3119</v>
      </c>
      <c r="I364" s="6">
        <v>7499</v>
      </c>
      <c r="J364" s="7">
        <f t="shared" si="7"/>
        <v>0</v>
      </c>
      <c r="K364" s="7">
        <f t="shared" si="8"/>
        <v>0</v>
      </c>
      <c r="L364" s="7">
        <f t="shared" si="9"/>
        <v>0</v>
      </c>
      <c r="M364" s="7">
        <f>IFERROR(VLOOKUP(G364,'Base de faturamento'!A:C,2,FALSE),0)</f>
        <v>0</v>
      </c>
      <c r="N364" s="8">
        <f>IFERROR(VLOOKUP(G364,'Base de faturamento'!A:C,3,FALSE),0)</f>
        <v>0</v>
      </c>
      <c r="O364" s="8">
        <f t="shared" si="10"/>
        <v>32</v>
      </c>
      <c r="P364" s="9" t="b">
        <f t="shared" si="11"/>
        <v>0</v>
      </c>
    </row>
    <row r="365" spans="1:16" ht="15" x14ac:dyDescent="0.25">
      <c r="A365" s="2" t="s">
        <v>461</v>
      </c>
      <c r="B365" s="2" t="s">
        <v>17</v>
      </c>
      <c r="C365" s="3" t="str">
        <f>VLOOKUP(B365,Dados!$A$3:$B$10,2,FALSE)</f>
        <v>Time 3</v>
      </c>
      <c r="D365" s="2" t="s">
        <v>18</v>
      </c>
      <c r="E365" s="2" t="s">
        <v>25</v>
      </c>
      <c r="F365" s="4" t="s">
        <v>462</v>
      </c>
      <c r="G365" s="5" t="str">
        <f t="shared" si="6"/>
        <v>30516075555</v>
      </c>
      <c r="H365" s="6">
        <v>5666</v>
      </c>
      <c r="I365" s="6">
        <v>3901</v>
      </c>
      <c r="J365" s="7">
        <f t="shared" si="7"/>
        <v>1765</v>
      </c>
      <c r="K365" s="7">
        <f t="shared" si="8"/>
        <v>353</v>
      </c>
      <c r="L365" s="7">
        <f t="shared" si="9"/>
        <v>1</v>
      </c>
      <c r="M365" s="7">
        <f>IFERROR(VLOOKUP(G365,'Base de faturamento'!A:C,2,FALSE),0)</f>
        <v>5666</v>
      </c>
      <c r="N365" s="8">
        <f>IFERROR(VLOOKUP(G365,'Base de faturamento'!A:C,3,FALSE),0)</f>
        <v>44675</v>
      </c>
      <c r="O365" s="8">
        <f t="shared" si="10"/>
        <v>44682</v>
      </c>
      <c r="P365" s="8">
        <f t="shared" si="11"/>
        <v>44682</v>
      </c>
    </row>
    <row r="366" spans="1:16" ht="15" x14ac:dyDescent="0.25">
      <c r="A366" s="2" t="s">
        <v>463</v>
      </c>
      <c r="B366" s="2" t="s">
        <v>17</v>
      </c>
      <c r="C366" s="3" t="str">
        <f>VLOOKUP(B366,Dados!$A$3:$B$10,2,FALSE)</f>
        <v>Time 3</v>
      </c>
      <c r="D366" s="2" t="s">
        <v>18</v>
      </c>
      <c r="E366" s="2" t="s">
        <v>25</v>
      </c>
      <c r="F366" s="4" t="s">
        <v>464</v>
      </c>
      <c r="G366" s="5" t="str">
        <f t="shared" si="6"/>
        <v>30623284141</v>
      </c>
      <c r="H366" s="6">
        <v>5636</v>
      </c>
      <c r="I366" s="6">
        <v>2909</v>
      </c>
      <c r="J366" s="7">
        <f t="shared" si="7"/>
        <v>2727</v>
      </c>
      <c r="K366" s="7">
        <f t="shared" si="8"/>
        <v>545.4</v>
      </c>
      <c r="L366" s="7">
        <f t="shared" si="9"/>
        <v>1</v>
      </c>
      <c r="M366" s="7">
        <f>IFERROR(VLOOKUP(G366,'Base de faturamento'!A:C,2,FALSE),0)</f>
        <v>5636</v>
      </c>
      <c r="N366" s="8">
        <f>IFERROR(VLOOKUP(G366,'Base de faturamento'!A:C,3,FALSE),0)</f>
        <v>44638</v>
      </c>
      <c r="O366" s="8">
        <f t="shared" si="10"/>
        <v>44652</v>
      </c>
      <c r="P366" s="8">
        <f t="shared" si="11"/>
        <v>44652</v>
      </c>
    </row>
    <row r="367" spans="1:16" ht="15" x14ac:dyDescent="0.25">
      <c r="A367" s="2" t="s">
        <v>465</v>
      </c>
      <c r="B367" s="2" t="s">
        <v>31</v>
      </c>
      <c r="C367" s="3" t="str">
        <f>VLOOKUP(B367,Dados!$A$3:$B$10,2,FALSE)</f>
        <v>Time 3</v>
      </c>
      <c r="D367" s="2" t="s">
        <v>18</v>
      </c>
      <c r="E367" s="2" t="s">
        <v>25</v>
      </c>
      <c r="F367" s="4" t="s">
        <v>466</v>
      </c>
      <c r="G367" s="5" t="str">
        <f t="shared" si="6"/>
        <v>31077485942</v>
      </c>
      <c r="H367" s="6">
        <v>5706</v>
      </c>
      <c r="I367" s="6">
        <v>7687</v>
      </c>
      <c r="J367" s="7">
        <f t="shared" si="7"/>
        <v>0</v>
      </c>
      <c r="K367" s="7">
        <f t="shared" si="8"/>
        <v>0</v>
      </c>
      <c r="L367" s="7">
        <f t="shared" si="9"/>
        <v>1</v>
      </c>
      <c r="M367" s="7">
        <f>IFERROR(VLOOKUP(G367,'Base de faturamento'!A:C,2,FALSE),0)</f>
        <v>5706</v>
      </c>
      <c r="N367" s="8">
        <f>IFERROR(VLOOKUP(G367,'Base de faturamento'!A:C,3,FALSE),0)</f>
        <v>44719</v>
      </c>
      <c r="O367" s="8">
        <f t="shared" si="10"/>
        <v>44743</v>
      </c>
      <c r="P367" s="8">
        <f t="shared" si="11"/>
        <v>44743</v>
      </c>
    </row>
    <row r="368" spans="1:16" ht="15" x14ac:dyDescent="0.25">
      <c r="A368" s="2" t="s">
        <v>467</v>
      </c>
      <c r="B368" s="2" t="s">
        <v>21</v>
      </c>
      <c r="C368" s="3" t="str">
        <f>VLOOKUP(B368,Dados!$A$3:$B$10,2,FALSE)</f>
        <v>Time 1</v>
      </c>
      <c r="D368" s="2" t="s">
        <v>18</v>
      </c>
      <c r="E368" s="2" t="s">
        <v>25</v>
      </c>
      <c r="F368" s="4" t="s">
        <v>468</v>
      </c>
      <c r="G368" s="5" t="str">
        <f t="shared" si="6"/>
        <v>31545341603</v>
      </c>
      <c r="H368" s="6">
        <v>3052</v>
      </c>
      <c r="I368" s="6">
        <v>6551</v>
      </c>
      <c r="J368" s="7">
        <f t="shared" si="7"/>
        <v>0</v>
      </c>
      <c r="K368" s="7">
        <f t="shared" si="8"/>
        <v>0</v>
      </c>
      <c r="L368" s="7">
        <f t="shared" si="9"/>
        <v>1</v>
      </c>
      <c r="M368" s="7">
        <f>IFERROR(VLOOKUP(G368,'Base de faturamento'!A:C,2,FALSE),0)</f>
        <v>3052</v>
      </c>
      <c r="N368" s="8">
        <f>IFERROR(VLOOKUP(G368,'Base de faturamento'!A:C,3,FALSE),0)</f>
        <v>44646</v>
      </c>
      <c r="O368" s="8">
        <f t="shared" si="10"/>
        <v>44635</v>
      </c>
      <c r="P368" s="8">
        <f t="shared" si="11"/>
        <v>44652</v>
      </c>
    </row>
    <row r="369" spans="1:16" ht="15" x14ac:dyDescent="0.25">
      <c r="A369" s="2" t="s">
        <v>469</v>
      </c>
      <c r="B369" s="2" t="s">
        <v>31</v>
      </c>
      <c r="C369" s="3" t="str">
        <f>VLOOKUP(B369,Dados!$A$3:$B$10,2,FALSE)</f>
        <v>Time 3</v>
      </c>
      <c r="D369" s="2" t="s">
        <v>18</v>
      </c>
      <c r="E369" s="2" t="s">
        <v>19</v>
      </c>
      <c r="F369" s="4" t="s">
        <v>470</v>
      </c>
      <c r="G369" s="5" t="str">
        <f t="shared" si="6"/>
        <v>31723092404</v>
      </c>
      <c r="H369" s="6">
        <v>7210</v>
      </c>
      <c r="I369" s="6">
        <v>0</v>
      </c>
      <c r="J369" s="7">
        <f t="shared" si="7"/>
        <v>7210</v>
      </c>
      <c r="K369" s="7">
        <f t="shared" si="8"/>
        <v>1442</v>
      </c>
      <c r="L369" s="7">
        <f t="shared" si="9"/>
        <v>1</v>
      </c>
      <c r="M369" s="7">
        <f>IFERROR(VLOOKUP(G369,'Base de faturamento'!A:C,2,FALSE),0)</f>
        <v>7210</v>
      </c>
      <c r="N369" s="8">
        <f>IFERROR(VLOOKUP(G369,'Base de faturamento'!A:C,3,FALSE),0)</f>
        <v>44713</v>
      </c>
      <c r="O369" s="8">
        <f t="shared" si="10"/>
        <v>44743</v>
      </c>
      <c r="P369" s="8">
        <f t="shared" si="11"/>
        <v>44743</v>
      </c>
    </row>
    <row r="370" spans="1:16" ht="15" x14ac:dyDescent="0.25">
      <c r="A370" s="2" t="s">
        <v>471</v>
      </c>
      <c r="B370" s="2" t="s">
        <v>24</v>
      </c>
      <c r="C370" s="3" t="str">
        <f>VLOOKUP(B370,Dados!$A$3:$B$10,2,FALSE)</f>
        <v>Time 2</v>
      </c>
      <c r="D370" s="2" t="s">
        <v>18</v>
      </c>
      <c r="E370" s="2" t="s">
        <v>19</v>
      </c>
      <c r="F370" s="4" t="s">
        <v>472</v>
      </c>
      <c r="G370" s="5" t="str">
        <f t="shared" si="6"/>
        <v>31844519889</v>
      </c>
      <c r="H370" s="6">
        <v>3350</v>
      </c>
      <c r="I370" s="6">
        <v>0</v>
      </c>
      <c r="J370" s="7">
        <f t="shared" si="7"/>
        <v>3350</v>
      </c>
      <c r="K370" s="7">
        <f t="shared" si="8"/>
        <v>670</v>
      </c>
      <c r="L370" s="7">
        <f t="shared" si="9"/>
        <v>1</v>
      </c>
      <c r="M370" s="7">
        <f>IFERROR(VLOOKUP(G370,'Base de faturamento'!A:C,2,FALSE),0)</f>
        <v>3350</v>
      </c>
      <c r="N370" s="8">
        <f>IFERROR(VLOOKUP(G370,'Base de faturamento'!A:C,3,FALSE),0)</f>
        <v>44730</v>
      </c>
      <c r="O370" s="8">
        <f t="shared" si="10"/>
        <v>44743</v>
      </c>
      <c r="P370" s="8">
        <f t="shared" si="11"/>
        <v>44743</v>
      </c>
    </row>
    <row r="371" spans="1:16" ht="15" x14ac:dyDescent="0.25">
      <c r="A371" s="2" t="s">
        <v>473</v>
      </c>
      <c r="B371" s="2" t="s">
        <v>33</v>
      </c>
      <c r="C371" s="3" t="str">
        <f>VLOOKUP(B371,Dados!$A$3:$B$10,2,FALSE)</f>
        <v>Time 1</v>
      </c>
      <c r="D371" s="2" t="s">
        <v>22</v>
      </c>
      <c r="E371" s="2" t="s">
        <v>25</v>
      </c>
      <c r="F371" s="4" t="s">
        <v>474</v>
      </c>
      <c r="G371" s="5" t="str">
        <f t="shared" si="6"/>
        <v>31858595412</v>
      </c>
      <c r="H371" s="6">
        <v>4792</v>
      </c>
      <c r="I371" s="6">
        <v>7713</v>
      </c>
      <c r="J371" s="7">
        <f t="shared" si="7"/>
        <v>0</v>
      </c>
      <c r="K371" s="7">
        <f t="shared" si="8"/>
        <v>0</v>
      </c>
      <c r="L371" s="7">
        <f t="shared" si="9"/>
        <v>0</v>
      </c>
      <c r="M371" s="7">
        <f>IFERROR(VLOOKUP(G371,'Base de faturamento'!A:C,2,FALSE),0)</f>
        <v>0</v>
      </c>
      <c r="N371" s="8">
        <f>IFERROR(VLOOKUP(G371,'Base de faturamento'!A:C,3,FALSE),0)</f>
        <v>0</v>
      </c>
      <c r="O371" s="8">
        <f t="shared" si="10"/>
        <v>15</v>
      </c>
      <c r="P371" s="9" t="b">
        <f t="shared" si="11"/>
        <v>0</v>
      </c>
    </row>
    <row r="372" spans="1:16" ht="15" x14ac:dyDescent="0.25">
      <c r="A372" s="2" t="s">
        <v>475</v>
      </c>
      <c r="B372" s="2" t="s">
        <v>36</v>
      </c>
      <c r="C372" s="3" t="str">
        <f>VLOOKUP(B372,Dados!$A$3:$B$10,2,FALSE)</f>
        <v>Time 1</v>
      </c>
      <c r="D372" s="2" t="s">
        <v>18</v>
      </c>
      <c r="E372" s="2" t="s">
        <v>19</v>
      </c>
      <c r="F372" s="4" t="s">
        <v>476</v>
      </c>
      <c r="G372" s="5" t="str">
        <f t="shared" si="6"/>
        <v>31939175264</v>
      </c>
      <c r="H372" s="6">
        <v>7637</v>
      </c>
      <c r="I372" s="6">
        <v>0</v>
      </c>
      <c r="J372" s="7">
        <f t="shared" si="7"/>
        <v>7637</v>
      </c>
      <c r="K372" s="7">
        <f t="shared" si="8"/>
        <v>1527.4</v>
      </c>
      <c r="L372" s="7">
        <f t="shared" si="9"/>
        <v>1</v>
      </c>
      <c r="M372" s="7">
        <f>IFERROR(VLOOKUP(G372,'Base de faturamento'!A:C,2,FALSE),0)</f>
        <v>7637</v>
      </c>
      <c r="N372" s="8">
        <f>IFERROR(VLOOKUP(G372,'Base de faturamento'!A:C,3,FALSE),0)</f>
        <v>44703</v>
      </c>
      <c r="O372" s="8">
        <f t="shared" si="10"/>
        <v>44696</v>
      </c>
      <c r="P372" s="8">
        <f t="shared" si="11"/>
        <v>44713</v>
      </c>
    </row>
    <row r="373" spans="1:16" ht="15" x14ac:dyDescent="0.25">
      <c r="A373" s="2" t="s">
        <v>477</v>
      </c>
      <c r="B373" s="2" t="s">
        <v>17</v>
      </c>
      <c r="C373" s="3" t="str">
        <f>VLOOKUP(B373,Dados!$A$3:$B$10,2,FALSE)</f>
        <v>Time 3</v>
      </c>
      <c r="D373" s="2" t="s">
        <v>22</v>
      </c>
      <c r="E373" s="2" t="s">
        <v>25</v>
      </c>
      <c r="F373" s="4" t="s">
        <v>478</v>
      </c>
      <c r="G373" s="5" t="str">
        <f t="shared" si="6"/>
        <v>32056179112</v>
      </c>
      <c r="H373" s="6">
        <v>1239</v>
      </c>
      <c r="I373" s="6">
        <v>4324</v>
      </c>
      <c r="J373" s="7">
        <f t="shared" si="7"/>
        <v>0</v>
      </c>
      <c r="K373" s="7">
        <f t="shared" si="8"/>
        <v>0</v>
      </c>
      <c r="L373" s="7">
        <f t="shared" si="9"/>
        <v>1</v>
      </c>
      <c r="M373" s="7">
        <f>IFERROR(VLOOKUP(G373,'Base de faturamento'!A:C,2,FALSE),0)</f>
        <v>1239</v>
      </c>
      <c r="N373" s="8">
        <f>IFERROR(VLOOKUP(G373,'Base de faturamento'!A:C,3,FALSE),0)</f>
        <v>44660</v>
      </c>
      <c r="O373" s="8">
        <f t="shared" si="10"/>
        <v>44682</v>
      </c>
      <c r="P373" s="8">
        <f t="shared" si="11"/>
        <v>44682</v>
      </c>
    </row>
    <row r="374" spans="1:16" ht="15" x14ac:dyDescent="0.25">
      <c r="A374" s="2" t="s">
        <v>479</v>
      </c>
      <c r="B374" s="2" t="s">
        <v>17</v>
      </c>
      <c r="C374" s="3" t="str">
        <f>VLOOKUP(B374,Dados!$A$3:$B$10,2,FALSE)</f>
        <v>Time 3</v>
      </c>
      <c r="D374" s="2" t="s">
        <v>18</v>
      </c>
      <c r="E374" s="2" t="s">
        <v>25</v>
      </c>
      <c r="F374" s="4" t="s">
        <v>480</v>
      </c>
      <c r="G374" s="5" t="str">
        <f t="shared" si="6"/>
        <v>32442874850</v>
      </c>
      <c r="H374" s="6">
        <v>6400</v>
      </c>
      <c r="I374" s="6">
        <v>5873</v>
      </c>
      <c r="J374" s="7">
        <f t="shared" si="7"/>
        <v>527</v>
      </c>
      <c r="K374" s="7">
        <f t="shared" si="8"/>
        <v>105.4</v>
      </c>
      <c r="L374" s="7">
        <f t="shared" si="9"/>
        <v>1</v>
      </c>
      <c r="M374" s="7">
        <f>IFERROR(VLOOKUP(G374,'Base de faturamento'!A:C,2,FALSE),0)</f>
        <v>6400</v>
      </c>
      <c r="N374" s="8">
        <f>IFERROR(VLOOKUP(G374,'Base de faturamento'!A:C,3,FALSE),0)</f>
        <v>44690</v>
      </c>
      <c r="O374" s="8">
        <f t="shared" si="10"/>
        <v>44713</v>
      </c>
      <c r="P374" s="8">
        <f t="shared" si="11"/>
        <v>44713</v>
      </c>
    </row>
    <row r="375" spans="1:16" ht="15" x14ac:dyDescent="0.25">
      <c r="A375" s="2" t="s">
        <v>481</v>
      </c>
      <c r="B375" s="2" t="s">
        <v>33</v>
      </c>
      <c r="C375" s="3" t="str">
        <f>VLOOKUP(B375,Dados!$A$3:$B$10,2,FALSE)</f>
        <v>Time 1</v>
      </c>
      <c r="D375" s="2" t="s">
        <v>18</v>
      </c>
      <c r="E375" s="2" t="s">
        <v>25</v>
      </c>
      <c r="F375" s="4" t="s">
        <v>482</v>
      </c>
      <c r="G375" s="5" t="str">
        <f t="shared" si="6"/>
        <v>32445575761</v>
      </c>
      <c r="H375" s="6">
        <v>3806</v>
      </c>
      <c r="I375" s="6">
        <v>3626</v>
      </c>
      <c r="J375" s="7">
        <f t="shared" si="7"/>
        <v>180</v>
      </c>
      <c r="K375" s="7">
        <f t="shared" si="8"/>
        <v>36</v>
      </c>
      <c r="L375" s="7">
        <f t="shared" si="9"/>
        <v>1</v>
      </c>
      <c r="M375" s="7">
        <f>IFERROR(VLOOKUP(G375,'Base de faturamento'!A:C,2,FALSE),0)</f>
        <v>3806</v>
      </c>
      <c r="N375" s="8">
        <f>IFERROR(VLOOKUP(G375,'Base de faturamento'!A:C,3,FALSE),0)</f>
        <v>44740</v>
      </c>
      <c r="O375" s="8">
        <f t="shared" si="10"/>
        <v>44727</v>
      </c>
      <c r="P375" s="8">
        <f t="shared" si="11"/>
        <v>44743</v>
      </c>
    </row>
    <row r="376" spans="1:16" ht="15" x14ac:dyDescent="0.25">
      <c r="A376" s="2" t="s">
        <v>483</v>
      </c>
      <c r="B376" s="2" t="s">
        <v>36</v>
      </c>
      <c r="C376" s="3" t="str">
        <f>VLOOKUP(B376,Dados!$A$3:$B$10,2,FALSE)</f>
        <v>Time 1</v>
      </c>
      <c r="D376" s="2" t="s">
        <v>22</v>
      </c>
      <c r="E376" s="2" t="s">
        <v>25</v>
      </c>
      <c r="F376" s="4" t="s">
        <v>484</v>
      </c>
      <c r="G376" s="5" t="str">
        <f t="shared" si="6"/>
        <v>32603618903</v>
      </c>
      <c r="H376" s="6">
        <v>4653</v>
      </c>
      <c r="I376" s="6">
        <v>4048</v>
      </c>
      <c r="J376" s="7">
        <f t="shared" si="7"/>
        <v>605</v>
      </c>
      <c r="K376" s="7">
        <f t="shared" si="8"/>
        <v>181.5</v>
      </c>
      <c r="L376" s="7">
        <f t="shared" si="9"/>
        <v>1</v>
      </c>
      <c r="M376" s="7">
        <f>IFERROR(VLOOKUP(G376,'Base de faturamento'!A:C,2,FALSE),0)</f>
        <v>4653</v>
      </c>
      <c r="N376" s="8">
        <f>IFERROR(VLOOKUP(G376,'Base de faturamento'!A:C,3,FALSE),0)</f>
        <v>44696</v>
      </c>
      <c r="O376" s="8">
        <f t="shared" si="10"/>
        <v>44696</v>
      </c>
      <c r="P376" s="8">
        <f t="shared" si="11"/>
        <v>44713</v>
      </c>
    </row>
    <row r="377" spans="1:16" ht="15" x14ac:dyDescent="0.25">
      <c r="A377" s="2" t="s">
        <v>485</v>
      </c>
      <c r="B377" s="2" t="s">
        <v>21</v>
      </c>
      <c r="C377" s="3" t="str">
        <f>VLOOKUP(B377,Dados!$A$3:$B$10,2,FALSE)</f>
        <v>Time 1</v>
      </c>
      <c r="D377" s="2" t="s">
        <v>18</v>
      </c>
      <c r="E377" s="2" t="s">
        <v>19</v>
      </c>
      <c r="F377" s="4" t="s">
        <v>486</v>
      </c>
      <c r="G377" s="5" t="str">
        <f t="shared" si="6"/>
        <v>32754580919</v>
      </c>
      <c r="H377" s="6">
        <v>2357</v>
      </c>
      <c r="I377" s="6">
        <v>0</v>
      </c>
      <c r="J377" s="7">
        <f t="shared" si="7"/>
        <v>2357</v>
      </c>
      <c r="K377" s="7">
        <f t="shared" si="8"/>
        <v>471.40000000000003</v>
      </c>
      <c r="L377" s="7">
        <f t="shared" si="9"/>
        <v>1</v>
      </c>
      <c r="M377" s="7">
        <f>IFERROR(VLOOKUP(G377,'Base de faturamento'!A:C,2,FALSE),0)</f>
        <v>2357</v>
      </c>
      <c r="N377" s="8">
        <f>IFERROR(VLOOKUP(G377,'Base de faturamento'!A:C,3,FALSE),0)</f>
        <v>44673</v>
      </c>
      <c r="O377" s="8">
        <f t="shared" si="10"/>
        <v>44666</v>
      </c>
      <c r="P377" s="8">
        <f t="shared" si="11"/>
        <v>44682</v>
      </c>
    </row>
    <row r="378" spans="1:16" ht="15" x14ac:dyDescent="0.25">
      <c r="A378" s="2" t="s">
        <v>487</v>
      </c>
      <c r="B378" s="2" t="s">
        <v>27</v>
      </c>
      <c r="C378" s="3" t="str">
        <f>VLOOKUP(B378,Dados!$A$3:$B$10,2,FALSE)</f>
        <v>Time 2</v>
      </c>
      <c r="D378" s="2" t="s">
        <v>18</v>
      </c>
      <c r="E378" s="2" t="s">
        <v>19</v>
      </c>
      <c r="F378" s="4" t="s">
        <v>488</v>
      </c>
      <c r="G378" s="5" t="str">
        <f t="shared" si="6"/>
        <v>33330244030</v>
      </c>
      <c r="H378" s="6">
        <v>6266</v>
      </c>
      <c r="I378" s="6">
        <v>0</v>
      </c>
      <c r="J378" s="7">
        <f t="shared" si="7"/>
        <v>6266</v>
      </c>
      <c r="K378" s="7">
        <f t="shared" si="8"/>
        <v>1253.2</v>
      </c>
      <c r="L378" s="7">
        <f t="shared" si="9"/>
        <v>1</v>
      </c>
      <c r="M378" s="7">
        <f>IFERROR(VLOOKUP(G378,'Base de faturamento'!A:C,2,FALSE),0)</f>
        <v>6266</v>
      </c>
      <c r="N378" s="8">
        <f>IFERROR(VLOOKUP(G378,'Base de faturamento'!A:C,3,FALSE),0)</f>
        <v>44671</v>
      </c>
      <c r="O378" s="8">
        <f t="shared" si="10"/>
        <v>44682</v>
      </c>
      <c r="P378" s="8">
        <f t="shared" si="11"/>
        <v>44682</v>
      </c>
    </row>
    <row r="379" spans="1:16" ht="15" x14ac:dyDescent="0.25">
      <c r="A379" s="2" t="s">
        <v>489</v>
      </c>
      <c r="B379" s="2" t="s">
        <v>17</v>
      </c>
      <c r="C379" s="3" t="str">
        <f>VLOOKUP(B379,Dados!$A$3:$B$10,2,FALSE)</f>
        <v>Time 3</v>
      </c>
      <c r="D379" s="2" t="s">
        <v>22</v>
      </c>
      <c r="E379" s="2" t="s">
        <v>25</v>
      </c>
      <c r="F379" s="4" t="s">
        <v>490</v>
      </c>
      <c r="G379" s="5" t="str">
        <f t="shared" si="6"/>
        <v>33596596826</v>
      </c>
      <c r="H379" s="6">
        <v>1427</v>
      </c>
      <c r="I379" s="6">
        <v>8678</v>
      </c>
      <c r="J379" s="7">
        <f t="shared" si="7"/>
        <v>0</v>
      </c>
      <c r="K379" s="7">
        <f t="shared" si="8"/>
        <v>0</v>
      </c>
      <c r="L379" s="7">
        <f t="shared" si="9"/>
        <v>1</v>
      </c>
      <c r="M379" s="7">
        <f>IFERROR(VLOOKUP(G379,'Base de faturamento'!A:C,2,FALSE),0)</f>
        <v>1427</v>
      </c>
      <c r="N379" s="8">
        <f>IFERROR(VLOOKUP(G379,'Base de faturamento'!A:C,3,FALSE),0)</f>
        <v>44671</v>
      </c>
      <c r="O379" s="8">
        <f t="shared" si="10"/>
        <v>44682</v>
      </c>
      <c r="P379" s="8">
        <f t="shared" si="11"/>
        <v>44682</v>
      </c>
    </row>
    <row r="380" spans="1:16" ht="15" x14ac:dyDescent="0.25">
      <c r="A380" s="2" t="s">
        <v>491</v>
      </c>
      <c r="B380" s="2" t="s">
        <v>31</v>
      </c>
      <c r="C380" s="3" t="str">
        <f>VLOOKUP(B380,Dados!$A$3:$B$10,2,FALSE)</f>
        <v>Time 3</v>
      </c>
      <c r="D380" s="2" t="s">
        <v>18</v>
      </c>
      <c r="E380" s="2" t="s">
        <v>19</v>
      </c>
      <c r="F380" s="4" t="s">
        <v>492</v>
      </c>
      <c r="G380" s="5" t="str">
        <f t="shared" si="6"/>
        <v>33698281703</v>
      </c>
      <c r="H380" s="6">
        <v>1110</v>
      </c>
      <c r="I380" s="6">
        <v>0</v>
      </c>
      <c r="J380" s="7">
        <f t="shared" si="7"/>
        <v>1110</v>
      </c>
      <c r="K380" s="7">
        <f t="shared" si="8"/>
        <v>222</v>
      </c>
      <c r="L380" s="7">
        <f t="shared" si="9"/>
        <v>1</v>
      </c>
      <c r="M380" s="7">
        <f>IFERROR(VLOOKUP(G380,'Base de faturamento'!A:C,2,FALSE),0)</f>
        <v>1110</v>
      </c>
      <c r="N380" s="8">
        <f>IFERROR(VLOOKUP(G380,'Base de faturamento'!A:C,3,FALSE),0)</f>
        <v>44732</v>
      </c>
      <c r="O380" s="8">
        <f t="shared" si="10"/>
        <v>44743</v>
      </c>
      <c r="P380" s="8">
        <f t="shared" si="11"/>
        <v>44743</v>
      </c>
    </row>
    <row r="381" spans="1:16" ht="15" x14ac:dyDescent="0.25">
      <c r="A381" s="2" t="s">
        <v>493</v>
      </c>
      <c r="B381" s="2" t="s">
        <v>27</v>
      </c>
      <c r="C381" s="3" t="str">
        <f>VLOOKUP(B381,Dados!$A$3:$B$10,2,FALSE)</f>
        <v>Time 2</v>
      </c>
      <c r="D381" s="2" t="s">
        <v>18</v>
      </c>
      <c r="E381" s="2" t="s">
        <v>19</v>
      </c>
      <c r="F381" s="4" t="s">
        <v>494</v>
      </c>
      <c r="G381" s="5" t="str">
        <f t="shared" si="6"/>
        <v>34258749971</v>
      </c>
      <c r="H381" s="6">
        <v>9349</v>
      </c>
      <c r="I381" s="6">
        <v>0</v>
      </c>
      <c r="J381" s="7">
        <f t="shared" si="7"/>
        <v>9349</v>
      </c>
      <c r="K381" s="7">
        <f t="shared" si="8"/>
        <v>1869.8000000000002</v>
      </c>
      <c r="L381" s="7">
        <f t="shared" si="9"/>
        <v>1</v>
      </c>
      <c r="M381" s="7">
        <f>IFERROR(VLOOKUP(G381,'Base de faturamento'!A:C,2,FALSE),0)</f>
        <v>9349</v>
      </c>
      <c r="N381" s="8">
        <f>IFERROR(VLOOKUP(G381,'Base de faturamento'!A:C,3,FALSE),0)</f>
        <v>44630</v>
      </c>
      <c r="O381" s="8">
        <f t="shared" si="10"/>
        <v>44652</v>
      </c>
      <c r="P381" s="8">
        <f t="shared" si="11"/>
        <v>44652</v>
      </c>
    </row>
    <row r="382" spans="1:16" ht="15" x14ac:dyDescent="0.25">
      <c r="A382" s="2" t="s">
        <v>495</v>
      </c>
      <c r="B382" s="2" t="s">
        <v>29</v>
      </c>
      <c r="C382" s="3" t="str">
        <f>VLOOKUP(B382,Dados!$A$3:$B$10,2,FALSE)</f>
        <v>Time 2</v>
      </c>
      <c r="D382" s="2" t="s">
        <v>18</v>
      </c>
      <c r="E382" s="2" t="s">
        <v>25</v>
      </c>
      <c r="F382" s="4" t="s">
        <v>496</v>
      </c>
      <c r="G382" s="5" t="str">
        <f t="shared" si="6"/>
        <v>34769699902</v>
      </c>
      <c r="H382" s="6">
        <v>1773</v>
      </c>
      <c r="I382" s="6">
        <v>1912</v>
      </c>
      <c r="J382" s="7">
        <f t="shared" si="7"/>
        <v>0</v>
      </c>
      <c r="K382" s="7">
        <f t="shared" si="8"/>
        <v>0</v>
      </c>
      <c r="L382" s="7">
        <f t="shared" si="9"/>
        <v>1</v>
      </c>
      <c r="M382" s="7">
        <f>IFERROR(VLOOKUP(G382,'Base de faturamento'!A:C,2,FALSE),0)</f>
        <v>1773</v>
      </c>
      <c r="N382" s="8">
        <f>IFERROR(VLOOKUP(G382,'Base de faturamento'!A:C,3,FALSE),0)</f>
        <v>44648</v>
      </c>
      <c r="O382" s="8">
        <f t="shared" si="10"/>
        <v>44652</v>
      </c>
      <c r="P382" s="8">
        <f t="shared" si="11"/>
        <v>44652</v>
      </c>
    </row>
    <row r="383" spans="1:16" ht="15" x14ac:dyDescent="0.25">
      <c r="A383" s="2" t="s">
        <v>497</v>
      </c>
      <c r="B383" s="2" t="s">
        <v>21</v>
      </c>
      <c r="C383" s="3" t="str">
        <f>VLOOKUP(B383,Dados!$A$3:$B$10,2,FALSE)</f>
        <v>Time 1</v>
      </c>
      <c r="D383" s="2" t="s">
        <v>22</v>
      </c>
      <c r="E383" s="2" t="s">
        <v>25</v>
      </c>
      <c r="F383" s="4" t="s">
        <v>498</v>
      </c>
      <c r="G383" s="5" t="str">
        <f t="shared" si="6"/>
        <v>35278645467</v>
      </c>
      <c r="H383" s="6">
        <v>5522</v>
      </c>
      <c r="I383" s="6">
        <v>6243</v>
      </c>
      <c r="J383" s="7">
        <f t="shared" si="7"/>
        <v>0</v>
      </c>
      <c r="K383" s="7">
        <f t="shared" si="8"/>
        <v>0</v>
      </c>
      <c r="L383" s="7">
        <f t="shared" si="9"/>
        <v>1</v>
      </c>
      <c r="M383" s="7">
        <f>IFERROR(VLOOKUP(G383,'Base de faturamento'!A:C,2,FALSE),0)</f>
        <v>5522</v>
      </c>
      <c r="N383" s="8">
        <f>IFERROR(VLOOKUP(G383,'Base de faturamento'!A:C,3,FALSE),0)</f>
        <v>44662</v>
      </c>
      <c r="O383" s="8">
        <f t="shared" si="10"/>
        <v>44666</v>
      </c>
      <c r="P383" s="8">
        <f t="shared" si="11"/>
        <v>44682</v>
      </c>
    </row>
    <row r="384" spans="1:16" ht="15" x14ac:dyDescent="0.25">
      <c r="A384" s="2" t="s">
        <v>499</v>
      </c>
      <c r="B384" s="2" t="s">
        <v>29</v>
      </c>
      <c r="C384" s="3" t="str">
        <f>VLOOKUP(B384,Dados!$A$3:$B$10,2,FALSE)</f>
        <v>Time 2</v>
      </c>
      <c r="D384" s="2" t="s">
        <v>18</v>
      </c>
      <c r="E384" s="2" t="s">
        <v>25</v>
      </c>
      <c r="F384" s="4" t="s">
        <v>500</v>
      </c>
      <c r="G384" s="5" t="str">
        <f t="shared" si="6"/>
        <v>35722625446</v>
      </c>
      <c r="H384" s="6">
        <v>6546</v>
      </c>
      <c r="I384" s="6">
        <v>3382</v>
      </c>
      <c r="J384" s="7">
        <f t="shared" si="7"/>
        <v>3164</v>
      </c>
      <c r="K384" s="7">
        <f t="shared" si="8"/>
        <v>632.80000000000007</v>
      </c>
      <c r="L384" s="7">
        <f t="shared" si="9"/>
        <v>1</v>
      </c>
      <c r="M384" s="7">
        <f>IFERROR(VLOOKUP(G384,'Base de faturamento'!A:C,2,FALSE),0)</f>
        <v>6546</v>
      </c>
      <c r="N384" s="8">
        <f>IFERROR(VLOOKUP(G384,'Base de faturamento'!A:C,3,FALSE),0)</f>
        <v>44728</v>
      </c>
      <c r="O384" s="8">
        <f t="shared" si="10"/>
        <v>44743</v>
      </c>
      <c r="P384" s="8">
        <f t="shared" si="11"/>
        <v>44743</v>
      </c>
    </row>
    <row r="385" spans="1:16" ht="15" x14ac:dyDescent="0.25">
      <c r="A385" s="2" t="s">
        <v>501</v>
      </c>
      <c r="B385" s="2" t="s">
        <v>33</v>
      </c>
      <c r="C385" s="3" t="str">
        <f>VLOOKUP(B385,Dados!$A$3:$B$10,2,FALSE)</f>
        <v>Time 1</v>
      </c>
      <c r="D385" s="2" t="s">
        <v>18</v>
      </c>
      <c r="E385" s="2" t="s">
        <v>25</v>
      </c>
      <c r="F385" s="4" t="s">
        <v>502</v>
      </c>
      <c r="G385" s="5" t="str">
        <f t="shared" si="6"/>
        <v>35799369627</v>
      </c>
      <c r="H385" s="6">
        <v>7648</v>
      </c>
      <c r="I385" s="6">
        <v>7172</v>
      </c>
      <c r="J385" s="7">
        <f t="shared" si="7"/>
        <v>476</v>
      </c>
      <c r="K385" s="7">
        <f t="shared" si="8"/>
        <v>95.2</v>
      </c>
      <c r="L385" s="7">
        <f t="shared" si="9"/>
        <v>1</v>
      </c>
      <c r="M385" s="7">
        <f>IFERROR(VLOOKUP(G385,'Base de faturamento'!A:C,2,FALSE),0)</f>
        <v>7648</v>
      </c>
      <c r="N385" s="8">
        <f>IFERROR(VLOOKUP(G385,'Base de faturamento'!A:C,3,FALSE),0)</f>
        <v>44629</v>
      </c>
      <c r="O385" s="8">
        <f t="shared" si="10"/>
        <v>44635</v>
      </c>
      <c r="P385" s="8">
        <f t="shared" si="11"/>
        <v>44652</v>
      </c>
    </row>
    <row r="386" spans="1:16" ht="15" x14ac:dyDescent="0.25">
      <c r="A386" s="2" t="s">
        <v>503</v>
      </c>
      <c r="B386" s="2" t="s">
        <v>21</v>
      </c>
      <c r="C386" s="3" t="str">
        <f>VLOOKUP(B386,Dados!$A$3:$B$10,2,FALSE)</f>
        <v>Time 1</v>
      </c>
      <c r="D386" s="2" t="s">
        <v>22</v>
      </c>
      <c r="E386" s="2" t="s">
        <v>25</v>
      </c>
      <c r="F386" s="4" t="s">
        <v>504</v>
      </c>
      <c r="G386" s="5" t="str">
        <f t="shared" si="6"/>
        <v>35986191033</v>
      </c>
      <c r="H386" s="6">
        <v>9932</v>
      </c>
      <c r="I386" s="6">
        <v>5182</v>
      </c>
      <c r="J386" s="7">
        <f t="shared" si="7"/>
        <v>4750</v>
      </c>
      <c r="K386" s="7">
        <f t="shared" si="8"/>
        <v>1425</v>
      </c>
      <c r="L386" s="7">
        <f t="shared" si="9"/>
        <v>1</v>
      </c>
      <c r="M386" s="7">
        <f>IFERROR(VLOOKUP(G386,'Base de faturamento'!A:C,2,FALSE),0)</f>
        <v>9932</v>
      </c>
      <c r="N386" s="8">
        <f>IFERROR(VLOOKUP(G386,'Base de faturamento'!A:C,3,FALSE),0)</f>
        <v>44713</v>
      </c>
      <c r="O386" s="8">
        <f t="shared" si="10"/>
        <v>44727</v>
      </c>
      <c r="P386" s="8">
        <f t="shared" si="11"/>
        <v>44743</v>
      </c>
    </row>
    <row r="387" spans="1:16" ht="15" x14ac:dyDescent="0.25">
      <c r="A387" s="2" t="s">
        <v>505</v>
      </c>
      <c r="B387" s="2" t="s">
        <v>33</v>
      </c>
      <c r="C387" s="3" t="str">
        <f>VLOOKUP(B387,Dados!$A$3:$B$10,2,FALSE)</f>
        <v>Time 1</v>
      </c>
      <c r="D387" s="2" t="s">
        <v>22</v>
      </c>
      <c r="E387" s="2" t="s">
        <v>19</v>
      </c>
      <c r="F387" s="4" t="s">
        <v>506</v>
      </c>
      <c r="G387" s="5" t="str">
        <f t="shared" si="6"/>
        <v>36940759318</v>
      </c>
      <c r="H387" s="6">
        <v>9725</v>
      </c>
      <c r="I387" s="6">
        <v>0</v>
      </c>
      <c r="J387" s="7">
        <f t="shared" si="7"/>
        <v>9725</v>
      </c>
      <c r="K387" s="7">
        <f t="shared" si="8"/>
        <v>2917.5</v>
      </c>
      <c r="L387" s="7">
        <f t="shared" si="9"/>
        <v>1</v>
      </c>
      <c r="M387" s="7">
        <f>IFERROR(VLOOKUP(G387,'Base de faturamento'!A:C,2,FALSE),0)</f>
        <v>9725</v>
      </c>
      <c r="N387" s="8">
        <f>IFERROR(VLOOKUP(G387,'Base de faturamento'!A:C,3,FALSE),0)</f>
        <v>44679</v>
      </c>
      <c r="O387" s="8">
        <f t="shared" si="10"/>
        <v>44666</v>
      </c>
      <c r="P387" s="8">
        <f t="shared" si="11"/>
        <v>44682</v>
      </c>
    </row>
    <row r="388" spans="1:16" ht="15" x14ac:dyDescent="0.25">
      <c r="A388" s="2" t="s">
        <v>507</v>
      </c>
      <c r="B388" s="2" t="s">
        <v>33</v>
      </c>
      <c r="C388" s="3" t="str">
        <f>VLOOKUP(B388,Dados!$A$3:$B$10,2,FALSE)</f>
        <v>Time 1</v>
      </c>
      <c r="D388" s="2" t="s">
        <v>18</v>
      </c>
      <c r="E388" s="2" t="s">
        <v>25</v>
      </c>
      <c r="F388" s="4" t="s">
        <v>508</v>
      </c>
      <c r="G388" s="5" t="str">
        <f t="shared" si="6"/>
        <v>37009308494</v>
      </c>
      <c r="H388" s="6">
        <v>3095</v>
      </c>
      <c r="I388" s="6">
        <v>8958</v>
      </c>
      <c r="J388" s="7">
        <f t="shared" si="7"/>
        <v>0</v>
      </c>
      <c r="K388" s="7">
        <f t="shared" si="8"/>
        <v>0</v>
      </c>
      <c r="L388" s="7">
        <f t="shared" si="9"/>
        <v>1</v>
      </c>
      <c r="M388" s="7">
        <f>IFERROR(VLOOKUP(G388,'Base de faturamento'!A:C,2,FALSE),0)</f>
        <v>3095</v>
      </c>
      <c r="N388" s="8">
        <f>IFERROR(VLOOKUP(G388,'Base de faturamento'!A:C,3,FALSE),0)</f>
        <v>44717</v>
      </c>
      <c r="O388" s="8">
        <f t="shared" si="10"/>
        <v>44727</v>
      </c>
      <c r="P388" s="8">
        <f t="shared" si="11"/>
        <v>44743</v>
      </c>
    </row>
    <row r="389" spans="1:16" ht="15" x14ac:dyDescent="0.25">
      <c r="A389" s="2" t="s">
        <v>509</v>
      </c>
      <c r="B389" s="2" t="s">
        <v>36</v>
      </c>
      <c r="C389" s="3" t="str">
        <f>VLOOKUP(B389,Dados!$A$3:$B$10,2,FALSE)</f>
        <v>Time 1</v>
      </c>
      <c r="D389" s="2" t="s">
        <v>18</v>
      </c>
      <c r="E389" s="2" t="s">
        <v>25</v>
      </c>
      <c r="F389" s="4" t="s">
        <v>510</v>
      </c>
      <c r="G389" s="5" t="str">
        <f t="shared" si="6"/>
        <v>37060726144</v>
      </c>
      <c r="H389" s="6">
        <v>5330</v>
      </c>
      <c r="I389" s="6">
        <v>5939</v>
      </c>
      <c r="J389" s="7">
        <f t="shared" si="7"/>
        <v>0</v>
      </c>
      <c r="K389" s="7">
        <f t="shared" si="8"/>
        <v>0</v>
      </c>
      <c r="L389" s="7">
        <f t="shared" si="9"/>
        <v>1</v>
      </c>
      <c r="M389" s="7">
        <f>IFERROR(VLOOKUP(G389,'Base de faturamento'!A:C,2,FALSE),0)</f>
        <v>5330</v>
      </c>
      <c r="N389" s="8">
        <f>IFERROR(VLOOKUP(G389,'Base de faturamento'!A:C,3,FALSE),0)</f>
        <v>44678</v>
      </c>
      <c r="O389" s="8">
        <f t="shared" si="10"/>
        <v>44666</v>
      </c>
      <c r="P389" s="8">
        <f t="shared" si="11"/>
        <v>44682</v>
      </c>
    </row>
    <row r="390" spans="1:16" ht="15" x14ac:dyDescent="0.25">
      <c r="A390" s="2" t="s">
        <v>511</v>
      </c>
      <c r="B390" s="2" t="s">
        <v>17</v>
      </c>
      <c r="C390" s="3" t="str">
        <f>VLOOKUP(B390,Dados!$A$3:$B$10,2,FALSE)</f>
        <v>Time 3</v>
      </c>
      <c r="D390" s="2" t="s">
        <v>22</v>
      </c>
      <c r="E390" s="2" t="s">
        <v>25</v>
      </c>
      <c r="F390" s="4" t="s">
        <v>512</v>
      </c>
      <c r="G390" s="5" t="str">
        <f t="shared" si="6"/>
        <v>37351741026</v>
      </c>
      <c r="H390" s="6">
        <v>9289</v>
      </c>
      <c r="I390" s="6">
        <v>2239</v>
      </c>
      <c r="J390" s="7">
        <f t="shared" si="7"/>
        <v>7050</v>
      </c>
      <c r="K390" s="7">
        <f t="shared" si="8"/>
        <v>0</v>
      </c>
      <c r="L390" s="7">
        <f t="shared" si="9"/>
        <v>0</v>
      </c>
      <c r="M390" s="7">
        <f>IFERROR(VLOOKUP(G390,'Base de faturamento'!A:C,2,FALSE),0)</f>
        <v>0</v>
      </c>
      <c r="N390" s="8">
        <f>IFERROR(VLOOKUP(G390,'Base de faturamento'!A:C,3,FALSE),0)</f>
        <v>0</v>
      </c>
      <c r="O390" s="8">
        <f t="shared" si="10"/>
        <v>32</v>
      </c>
      <c r="P390" s="9" t="b">
        <f t="shared" si="11"/>
        <v>0</v>
      </c>
    </row>
    <row r="391" spans="1:16" ht="15" x14ac:dyDescent="0.25">
      <c r="A391" s="2" t="s">
        <v>513</v>
      </c>
      <c r="B391" s="2" t="s">
        <v>21</v>
      </c>
      <c r="C391" s="3" t="str">
        <f>VLOOKUP(B391,Dados!$A$3:$B$10,2,FALSE)</f>
        <v>Time 1</v>
      </c>
      <c r="D391" s="2" t="s">
        <v>22</v>
      </c>
      <c r="E391" s="2" t="s">
        <v>25</v>
      </c>
      <c r="F391" s="4" t="s">
        <v>514</v>
      </c>
      <c r="G391" s="5" t="str">
        <f t="shared" si="6"/>
        <v>38002087268</v>
      </c>
      <c r="H391" s="6">
        <v>8314</v>
      </c>
      <c r="I391" s="6">
        <v>5150</v>
      </c>
      <c r="J391" s="7">
        <f t="shared" si="7"/>
        <v>3164</v>
      </c>
      <c r="K391" s="7">
        <f t="shared" si="8"/>
        <v>949.19999999999993</v>
      </c>
      <c r="L391" s="7">
        <f t="shared" si="9"/>
        <v>1</v>
      </c>
      <c r="M391" s="7">
        <f>IFERROR(VLOOKUP(G391,'Base de faturamento'!A:C,2,FALSE),0)</f>
        <v>8314</v>
      </c>
      <c r="N391" s="8">
        <f>IFERROR(VLOOKUP(G391,'Base de faturamento'!A:C,3,FALSE),0)</f>
        <v>44644</v>
      </c>
      <c r="O391" s="8">
        <f t="shared" si="10"/>
        <v>44635</v>
      </c>
      <c r="P391" s="8">
        <f t="shared" si="11"/>
        <v>44652</v>
      </c>
    </row>
    <row r="392" spans="1:16" ht="15" x14ac:dyDescent="0.25">
      <c r="A392" s="2" t="s">
        <v>515</v>
      </c>
      <c r="B392" s="2" t="s">
        <v>17</v>
      </c>
      <c r="C392" s="3" t="str">
        <f>VLOOKUP(B392,Dados!$A$3:$B$10,2,FALSE)</f>
        <v>Time 3</v>
      </c>
      <c r="D392" s="2" t="s">
        <v>18</v>
      </c>
      <c r="E392" s="2" t="s">
        <v>25</v>
      </c>
      <c r="F392" s="4" t="s">
        <v>516</v>
      </c>
      <c r="G392" s="5" t="str">
        <f t="shared" si="6"/>
        <v>38479356583</v>
      </c>
      <c r="H392" s="6">
        <v>3413</v>
      </c>
      <c r="I392" s="6">
        <v>5581</v>
      </c>
      <c r="J392" s="7">
        <f t="shared" si="7"/>
        <v>0</v>
      </c>
      <c r="K392" s="7">
        <f t="shared" si="8"/>
        <v>0</v>
      </c>
      <c r="L392" s="7">
        <f t="shared" si="9"/>
        <v>1</v>
      </c>
      <c r="M392" s="7">
        <f>IFERROR(VLOOKUP(G392,'Base de faturamento'!A:C,2,FALSE),0)</f>
        <v>3413</v>
      </c>
      <c r="N392" s="8">
        <f>IFERROR(VLOOKUP(G392,'Base de faturamento'!A:C,3,FALSE),0)</f>
        <v>44632</v>
      </c>
      <c r="O392" s="8">
        <f t="shared" si="10"/>
        <v>44652</v>
      </c>
      <c r="P392" s="8">
        <f t="shared" si="11"/>
        <v>44652</v>
      </c>
    </row>
    <row r="393" spans="1:16" ht="15" x14ac:dyDescent="0.25">
      <c r="A393" s="2" t="s">
        <v>517</v>
      </c>
      <c r="B393" s="2" t="s">
        <v>21</v>
      </c>
      <c r="C393" s="3" t="str">
        <f>VLOOKUP(B393,Dados!$A$3:$B$10,2,FALSE)</f>
        <v>Time 1</v>
      </c>
      <c r="D393" s="2" t="s">
        <v>18</v>
      </c>
      <c r="E393" s="2" t="s">
        <v>25</v>
      </c>
      <c r="F393" s="4" t="s">
        <v>518</v>
      </c>
      <c r="G393" s="5" t="str">
        <f t="shared" si="6"/>
        <v>38706142890</v>
      </c>
      <c r="H393" s="6">
        <v>9546</v>
      </c>
      <c r="I393" s="6">
        <v>1101</v>
      </c>
      <c r="J393" s="7">
        <f t="shared" si="7"/>
        <v>8445</v>
      </c>
      <c r="K393" s="7">
        <f t="shared" si="8"/>
        <v>1689</v>
      </c>
      <c r="L393" s="7">
        <f t="shared" si="9"/>
        <v>1</v>
      </c>
      <c r="M393" s="7">
        <f>IFERROR(VLOOKUP(G393,'Base de faturamento'!A:C,2,FALSE),0)</f>
        <v>9546</v>
      </c>
      <c r="N393" s="8">
        <f>IFERROR(VLOOKUP(G393,'Base de faturamento'!A:C,3,FALSE),0)</f>
        <v>44664</v>
      </c>
      <c r="O393" s="8">
        <f t="shared" si="10"/>
        <v>44666</v>
      </c>
      <c r="P393" s="8">
        <f t="shared" si="11"/>
        <v>44682</v>
      </c>
    </row>
    <row r="394" spans="1:16" ht="15" x14ac:dyDescent="0.25">
      <c r="A394" s="2" t="s">
        <v>519</v>
      </c>
      <c r="B394" s="2" t="s">
        <v>24</v>
      </c>
      <c r="C394" s="3" t="str">
        <f>VLOOKUP(B394,Dados!$A$3:$B$10,2,FALSE)</f>
        <v>Time 2</v>
      </c>
      <c r="D394" s="2" t="s">
        <v>22</v>
      </c>
      <c r="E394" s="2" t="s">
        <v>25</v>
      </c>
      <c r="F394" s="4" t="s">
        <v>520</v>
      </c>
      <c r="G394" s="5" t="str">
        <f t="shared" si="6"/>
        <v>39165302111</v>
      </c>
      <c r="H394" s="6">
        <v>2109</v>
      </c>
      <c r="I394" s="6">
        <v>8702</v>
      </c>
      <c r="J394" s="7">
        <f t="shared" si="7"/>
        <v>0</v>
      </c>
      <c r="K394" s="7">
        <f t="shared" si="8"/>
        <v>0</v>
      </c>
      <c r="L394" s="7">
        <f t="shared" si="9"/>
        <v>0</v>
      </c>
      <c r="M394" s="7">
        <f>IFERROR(VLOOKUP(G394,'Base de faturamento'!A:C,2,FALSE),0)</f>
        <v>0</v>
      </c>
      <c r="N394" s="8">
        <f>IFERROR(VLOOKUP(G394,'Base de faturamento'!A:C,3,FALSE),0)</f>
        <v>0</v>
      </c>
      <c r="O394" s="8">
        <f t="shared" si="10"/>
        <v>32</v>
      </c>
      <c r="P394" s="9" t="b">
        <f t="shared" si="11"/>
        <v>0</v>
      </c>
    </row>
    <row r="395" spans="1:16" ht="15" x14ac:dyDescent="0.25">
      <c r="A395" s="2" t="s">
        <v>521</v>
      </c>
      <c r="B395" s="2" t="s">
        <v>27</v>
      </c>
      <c r="C395" s="3" t="str">
        <f>VLOOKUP(B395,Dados!$A$3:$B$10,2,FALSE)</f>
        <v>Time 2</v>
      </c>
      <c r="D395" s="2" t="s">
        <v>22</v>
      </c>
      <c r="E395" s="2" t="s">
        <v>25</v>
      </c>
      <c r="F395" s="4" t="s">
        <v>522</v>
      </c>
      <c r="G395" s="5" t="str">
        <f t="shared" si="6"/>
        <v>39188814236</v>
      </c>
      <c r="H395" s="6">
        <v>2313</v>
      </c>
      <c r="I395" s="6">
        <v>9621</v>
      </c>
      <c r="J395" s="7">
        <f t="shared" si="7"/>
        <v>0</v>
      </c>
      <c r="K395" s="7">
        <f t="shared" si="8"/>
        <v>0</v>
      </c>
      <c r="L395" s="7">
        <f t="shared" si="9"/>
        <v>1</v>
      </c>
      <c r="M395" s="7">
        <f>IFERROR(VLOOKUP(G395,'Base de faturamento'!A:C,2,FALSE),0)</f>
        <v>2313</v>
      </c>
      <c r="N395" s="8">
        <f>IFERROR(VLOOKUP(G395,'Base de faturamento'!A:C,3,FALSE),0)</f>
        <v>44690</v>
      </c>
      <c r="O395" s="8">
        <f t="shared" si="10"/>
        <v>44713</v>
      </c>
      <c r="P395" s="8">
        <f t="shared" si="11"/>
        <v>44713</v>
      </c>
    </row>
    <row r="396" spans="1:16" ht="15" x14ac:dyDescent="0.25">
      <c r="A396" s="2" t="s">
        <v>523</v>
      </c>
      <c r="B396" s="2" t="s">
        <v>29</v>
      </c>
      <c r="C396" s="3" t="str">
        <f>VLOOKUP(B396,Dados!$A$3:$B$10,2,FALSE)</f>
        <v>Time 2</v>
      </c>
      <c r="D396" s="2" t="s">
        <v>18</v>
      </c>
      <c r="E396" s="2" t="s">
        <v>25</v>
      </c>
      <c r="F396" s="4" t="s">
        <v>524</v>
      </c>
      <c r="G396" s="5" t="str">
        <f t="shared" si="6"/>
        <v>39385459705</v>
      </c>
      <c r="H396" s="6">
        <v>4769</v>
      </c>
      <c r="I396" s="6">
        <v>9480</v>
      </c>
      <c r="J396" s="7">
        <f t="shared" si="7"/>
        <v>0</v>
      </c>
      <c r="K396" s="7">
        <f t="shared" si="8"/>
        <v>0</v>
      </c>
      <c r="L396" s="7">
        <f t="shared" si="9"/>
        <v>1</v>
      </c>
      <c r="M396" s="7">
        <f>IFERROR(VLOOKUP(G396,'Base de faturamento'!A:C,2,FALSE),0)</f>
        <v>4769</v>
      </c>
      <c r="N396" s="8">
        <f>IFERROR(VLOOKUP(G396,'Base de faturamento'!A:C,3,FALSE),0)</f>
        <v>44691</v>
      </c>
      <c r="O396" s="8">
        <f t="shared" si="10"/>
        <v>44713</v>
      </c>
      <c r="P396" s="8">
        <f t="shared" si="11"/>
        <v>44713</v>
      </c>
    </row>
    <row r="397" spans="1:16" ht="15" x14ac:dyDescent="0.25">
      <c r="A397" s="2" t="s">
        <v>525</v>
      </c>
      <c r="B397" s="2" t="s">
        <v>33</v>
      </c>
      <c r="C397" s="3" t="str">
        <f>VLOOKUP(B397,Dados!$A$3:$B$10,2,FALSE)</f>
        <v>Time 1</v>
      </c>
      <c r="D397" s="2" t="s">
        <v>18</v>
      </c>
      <c r="E397" s="2" t="s">
        <v>19</v>
      </c>
      <c r="F397" s="4" t="s">
        <v>526</v>
      </c>
      <c r="G397" s="5" t="str">
        <f t="shared" si="6"/>
        <v>39745143013</v>
      </c>
      <c r="H397" s="6">
        <v>3916</v>
      </c>
      <c r="I397" s="6">
        <v>0</v>
      </c>
      <c r="J397" s="7">
        <f t="shared" si="7"/>
        <v>3916</v>
      </c>
      <c r="K397" s="7">
        <f t="shared" si="8"/>
        <v>783.2</v>
      </c>
      <c r="L397" s="7">
        <f t="shared" si="9"/>
        <v>1</v>
      </c>
      <c r="M397" s="7">
        <f>IFERROR(VLOOKUP(G397,'Base de faturamento'!A:C,2,FALSE),0)</f>
        <v>3916</v>
      </c>
      <c r="N397" s="8">
        <f>IFERROR(VLOOKUP(G397,'Base de faturamento'!A:C,3,FALSE),0)</f>
        <v>44650</v>
      </c>
      <c r="O397" s="8">
        <f t="shared" si="10"/>
        <v>44635</v>
      </c>
      <c r="P397" s="8">
        <f t="shared" si="11"/>
        <v>44652</v>
      </c>
    </row>
    <row r="398" spans="1:16" ht="15" x14ac:dyDescent="0.25">
      <c r="A398" s="2" t="s">
        <v>527</v>
      </c>
      <c r="B398" s="2" t="s">
        <v>36</v>
      </c>
      <c r="C398" s="3" t="str">
        <f>VLOOKUP(B398,Dados!$A$3:$B$10,2,FALSE)</f>
        <v>Time 1</v>
      </c>
      <c r="D398" s="2" t="s">
        <v>22</v>
      </c>
      <c r="E398" s="2" t="s">
        <v>25</v>
      </c>
      <c r="F398" s="4" t="s">
        <v>528</v>
      </c>
      <c r="G398" s="5" t="str">
        <f t="shared" si="6"/>
        <v>40022572512</v>
      </c>
      <c r="H398" s="6">
        <v>1507</v>
      </c>
      <c r="I398" s="6">
        <v>8690</v>
      </c>
      <c r="J398" s="7">
        <f t="shared" si="7"/>
        <v>0</v>
      </c>
      <c r="K398" s="7">
        <f t="shared" si="8"/>
        <v>0</v>
      </c>
      <c r="L398" s="7">
        <f t="shared" si="9"/>
        <v>0</v>
      </c>
      <c r="M398" s="7">
        <f>IFERROR(VLOOKUP(G398,'Base de faturamento'!A:C,2,FALSE),0)</f>
        <v>0</v>
      </c>
      <c r="N398" s="8">
        <f>IFERROR(VLOOKUP(G398,'Base de faturamento'!A:C,3,FALSE),0)</f>
        <v>0</v>
      </c>
      <c r="O398" s="8">
        <f t="shared" si="10"/>
        <v>15</v>
      </c>
      <c r="P398" s="9" t="b">
        <f t="shared" si="11"/>
        <v>0</v>
      </c>
    </row>
    <row r="399" spans="1:16" ht="15" x14ac:dyDescent="0.25">
      <c r="A399" s="2" t="s">
        <v>529</v>
      </c>
      <c r="B399" s="2" t="s">
        <v>21</v>
      </c>
      <c r="C399" s="3" t="str">
        <f>VLOOKUP(B399,Dados!$A$3:$B$10,2,FALSE)</f>
        <v>Time 1</v>
      </c>
      <c r="D399" s="2" t="s">
        <v>22</v>
      </c>
      <c r="E399" s="2" t="s">
        <v>25</v>
      </c>
      <c r="F399" s="4" t="s">
        <v>530</v>
      </c>
      <c r="G399" s="5" t="str">
        <f t="shared" si="6"/>
        <v>40285307440</v>
      </c>
      <c r="H399" s="6">
        <v>5005</v>
      </c>
      <c r="I399" s="6">
        <v>5624</v>
      </c>
      <c r="J399" s="7">
        <f t="shared" si="7"/>
        <v>0</v>
      </c>
      <c r="K399" s="7">
        <f t="shared" si="8"/>
        <v>0</v>
      </c>
      <c r="L399" s="7">
        <f t="shared" si="9"/>
        <v>1</v>
      </c>
      <c r="M399" s="7">
        <f>IFERROR(VLOOKUP(G399,'Base de faturamento'!A:C,2,FALSE),0)</f>
        <v>5005</v>
      </c>
      <c r="N399" s="8">
        <f>IFERROR(VLOOKUP(G399,'Base de faturamento'!A:C,3,FALSE),0)</f>
        <v>44715</v>
      </c>
      <c r="O399" s="8">
        <f t="shared" si="10"/>
        <v>44727</v>
      </c>
      <c r="P399" s="8">
        <f t="shared" si="11"/>
        <v>44743</v>
      </c>
    </row>
    <row r="400" spans="1:16" ht="15" x14ac:dyDescent="0.25">
      <c r="A400" s="2" t="s">
        <v>531</v>
      </c>
      <c r="B400" s="2" t="s">
        <v>27</v>
      </c>
      <c r="C400" s="3" t="str">
        <f>VLOOKUP(B400,Dados!$A$3:$B$10,2,FALSE)</f>
        <v>Time 2</v>
      </c>
      <c r="D400" s="2" t="s">
        <v>18</v>
      </c>
      <c r="E400" s="2" t="s">
        <v>25</v>
      </c>
      <c r="F400" s="4" t="s">
        <v>532</v>
      </c>
      <c r="G400" s="5" t="str">
        <f t="shared" si="6"/>
        <v>40512471566</v>
      </c>
      <c r="H400" s="6">
        <v>1517</v>
      </c>
      <c r="I400" s="6">
        <v>8926</v>
      </c>
      <c r="J400" s="7">
        <f t="shared" si="7"/>
        <v>0</v>
      </c>
      <c r="K400" s="7">
        <f t="shared" si="8"/>
        <v>0</v>
      </c>
      <c r="L400" s="7">
        <f t="shared" si="9"/>
        <v>1</v>
      </c>
      <c r="M400" s="7">
        <f>IFERROR(VLOOKUP(G400,'Base de faturamento'!A:C,2,FALSE),0)</f>
        <v>1517</v>
      </c>
      <c r="N400" s="8">
        <f>IFERROR(VLOOKUP(G400,'Base de faturamento'!A:C,3,FALSE),0)</f>
        <v>44647</v>
      </c>
      <c r="O400" s="8">
        <f t="shared" si="10"/>
        <v>44652</v>
      </c>
      <c r="P400" s="8">
        <f t="shared" si="11"/>
        <v>44652</v>
      </c>
    </row>
    <row r="401" spans="1:16" ht="15" x14ac:dyDescent="0.25">
      <c r="A401" s="2" t="s">
        <v>533</v>
      </c>
      <c r="B401" s="2" t="s">
        <v>36</v>
      </c>
      <c r="C401" s="3" t="str">
        <f>VLOOKUP(B401,Dados!$A$3:$B$10,2,FALSE)</f>
        <v>Time 1</v>
      </c>
      <c r="D401" s="2" t="s">
        <v>22</v>
      </c>
      <c r="E401" s="2" t="s">
        <v>25</v>
      </c>
      <c r="F401" s="4" t="s">
        <v>534</v>
      </c>
      <c r="G401" s="5" t="str">
        <f t="shared" si="6"/>
        <v>40544952345</v>
      </c>
      <c r="H401" s="6">
        <v>7064</v>
      </c>
      <c r="I401" s="6">
        <v>9044</v>
      </c>
      <c r="J401" s="7">
        <f t="shared" si="7"/>
        <v>0</v>
      </c>
      <c r="K401" s="7">
        <f t="shared" si="8"/>
        <v>0</v>
      </c>
      <c r="L401" s="7">
        <f t="shared" si="9"/>
        <v>0</v>
      </c>
      <c r="M401" s="7">
        <f>IFERROR(VLOOKUP(G401,'Base de faturamento'!A:C,2,FALSE),0)</f>
        <v>0</v>
      </c>
      <c r="N401" s="8">
        <f>IFERROR(VLOOKUP(G401,'Base de faturamento'!A:C,3,FALSE),0)</f>
        <v>0</v>
      </c>
      <c r="O401" s="8">
        <f t="shared" si="10"/>
        <v>15</v>
      </c>
      <c r="P401" s="9" t="b">
        <f t="shared" si="11"/>
        <v>0</v>
      </c>
    </row>
    <row r="402" spans="1:16" ht="15" x14ac:dyDescent="0.25">
      <c r="A402" s="2" t="s">
        <v>535</v>
      </c>
      <c r="B402" s="2" t="s">
        <v>36</v>
      </c>
      <c r="C402" s="3" t="str">
        <f>VLOOKUP(B402,Dados!$A$3:$B$10,2,FALSE)</f>
        <v>Time 1</v>
      </c>
      <c r="D402" s="2" t="s">
        <v>18</v>
      </c>
      <c r="E402" s="2" t="s">
        <v>25</v>
      </c>
      <c r="F402" s="4" t="s">
        <v>536</v>
      </c>
      <c r="G402" s="5" t="str">
        <f t="shared" si="6"/>
        <v>40697555604</v>
      </c>
      <c r="H402" s="6">
        <v>4326</v>
      </c>
      <c r="I402" s="6">
        <v>6213</v>
      </c>
      <c r="J402" s="7">
        <f t="shared" si="7"/>
        <v>0</v>
      </c>
      <c r="K402" s="7">
        <f t="shared" si="8"/>
        <v>0</v>
      </c>
      <c r="L402" s="7">
        <f t="shared" si="9"/>
        <v>1</v>
      </c>
      <c r="M402" s="7">
        <f>IFERROR(VLOOKUP(G402,'Base de faturamento'!A:C,2,FALSE),0)</f>
        <v>4326</v>
      </c>
      <c r="N402" s="8">
        <f>IFERROR(VLOOKUP(G402,'Base de faturamento'!A:C,3,FALSE),0)</f>
        <v>44723</v>
      </c>
      <c r="O402" s="8">
        <f t="shared" si="10"/>
        <v>44727</v>
      </c>
      <c r="P402" s="8">
        <f t="shared" si="11"/>
        <v>44743</v>
      </c>
    </row>
    <row r="403" spans="1:16" ht="15" x14ac:dyDescent="0.25">
      <c r="A403" s="2" t="s">
        <v>537</v>
      </c>
      <c r="B403" s="2" t="s">
        <v>17</v>
      </c>
      <c r="C403" s="3" t="str">
        <f>VLOOKUP(B403,Dados!$A$3:$B$10,2,FALSE)</f>
        <v>Time 3</v>
      </c>
      <c r="D403" s="2" t="s">
        <v>18</v>
      </c>
      <c r="E403" s="2" t="s">
        <v>25</v>
      </c>
      <c r="F403" s="4" t="s">
        <v>538</v>
      </c>
      <c r="G403" s="5" t="str">
        <f t="shared" si="6"/>
        <v>41210758281</v>
      </c>
      <c r="H403" s="6">
        <v>2507</v>
      </c>
      <c r="I403" s="6">
        <v>3834</v>
      </c>
      <c r="J403" s="7">
        <f t="shared" si="7"/>
        <v>0</v>
      </c>
      <c r="K403" s="7">
        <f t="shared" si="8"/>
        <v>0</v>
      </c>
      <c r="L403" s="7">
        <f t="shared" si="9"/>
        <v>1</v>
      </c>
      <c r="M403" s="7">
        <f>IFERROR(VLOOKUP(G403,'Base de faturamento'!A:C,2,FALSE),0)</f>
        <v>2507</v>
      </c>
      <c r="N403" s="8">
        <f>IFERROR(VLOOKUP(G403,'Base de faturamento'!A:C,3,FALSE),0)</f>
        <v>44647</v>
      </c>
      <c r="O403" s="8">
        <f t="shared" si="10"/>
        <v>44652</v>
      </c>
      <c r="P403" s="8">
        <f t="shared" si="11"/>
        <v>44652</v>
      </c>
    </row>
    <row r="404" spans="1:16" ht="15" x14ac:dyDescent="0.25">
      <c r="A404" s="2" t="s">
        <v>539</v>
      </c>
      <c r="B404" s="2" t="s">
        <v>24</v>
      </c>
      <c r="C404" s="3" t="str">
        <f>VLOOKUP(B404,Dados!$A$3:$B$10,2,FALSE)</f>
        <v>Time 2</v>
      </c>
      <c r="D404" s="2" t="s">
        <v>18</v>
      </c>
      <c r="E404" s="2" t="s">
        <v>19</v>
      </c>
      <c r="F404" s="4" t="s">
        <v>540</v>
      </c>
      <c r="G404" s="5" t="str">
        <f t="shared" si="6"/>
        <v>41501411778</v>
      </c>
      <c r="H404" s="6">
        <v>8981</v>
      </c>
      <c r="I404" s="6">
        <v>0</v>
      </c>
      <c r="J404" s="7">
        <f t="shared" si="7"/>
        <v>8981</v>
      </c>
      <c r="K404" s="7">
        <f t="shared" si="8"/>
        <v>1796.2</v>
      </c>
      <c r="L404" s="7">
        <f t="shared" si="9"/>
        <v>1</v>
      </c>
      <c r="M404" s="7">
        <f>IFERROR(VLOOKUP(G404,'Base de faturamento'!A:C,2,FALSE),0)</f>
        <v>8981</v>
      </c>
      <c r="N404" s="8">
        <f>IFERROR(VLOOKUP(G404,'Base de faturamento'!A:C,3,FALSE),0)</f>
        <v>44703</v>
      </c>
      <c r="O404" s="8">
        <f t="shared" si="10"/>
        <v>44713</v>
      </c>
      <c r="P404" s="8">
        <f t="shared" si="11"/>
        <v>44713</v>
      </c>
    </row>
    <row r="405" spans="1:16" ht="15" x14ac:dyDescent="0.25">
      <c r="A405" s="2" t="s">
        <v>541</v>
      </c>
      <c r="B405" s="2" t="s">
        <v>29</v>
      </c>
      <c r="C405" s="3" t="str">
        <f>VLOOKUP(B405,Dados!$A$3:$B$10,2,FALSE)</f>
        <v>Time 2</v>
      </c>
      <c r="D405" s="2" t="s">
        <v>18</v>
      </c>
      <c r="E405" s="2" t="s">
        <v>25</v>
      </c>
      <c r="F405" s="4" t="s">
        <v>542</v>
      </c>
      <c r="G405" s="5" t="str">
        <f t="shared" si="6"/>
        <v>41668486615</v>
      </c>
      <c r="H405" s="6">
        <v>5567</v>
      </c>
      <c r="I405" s="6">
        <v>3239</v>
      </c>
      <c r="J405" s="7">
        <f t="shared" si="7"/>
        <v>2328</v>
      </c>
      <c r="K405" s="7">
        <f t="shared" si="8"/>
        <v>465.6</v>
      </c>
      <c r="L405" s="7">
        <f t="shared" si="9"/>
        <v>1</v>
      </c>
      <c r="M405" s="7">
        <f>IFERROR(VLOOKUP(G405,'Base de faturamento'!A:C,2,FALSE),0)</f>
        <v>5567</v>
      </c>
      <c r="N405" s="8">
        <f>IFERROR(VLOOKUP(G405,'Base de faturamento'!A:C,3,FALSE),0)</f>
        <v>44701</v>
      </c>
      <c r="O405" s="8">
        <f t="shared" si="10"/>
        <v>44713</v>
      </c>
      <c r="P405" s="8">
        <f t="shared" si="11"/>
        <v>44713</v>
      </c>
    </row>
    <row r="406" spans="1:16" ht="15" x14ac:dyDescent="0.25">
      <c r="A406" s="2" t="s">
        <v>543</v>
      </c>
      <c r="B406" s="2" t="s">
        <v>27</v>
      </c>
      <c r="C406" s="3" t="str">
        <f>VLOOKUP(B406,Dados!$A$3:$B$10,2,FALSE)</f>
        <v>Time 2</v>
      </c>
      <c r="D406" s="2" t="s">
        <v>22</v>
      </c>
      <c r="E406" s="2" t="s">
        <v>25</v>
      </c>
      <c r="F406" s="4" t="s">
        <v>544</v>
      </c>
      <c r="G406" s="5" t="str">
        <f t="shared" si="6"/>
        <v>42608568618</v>
      </c>
      <c r="H406" s="6">
        <v>5549</v>
      </c>
      <c r="I406" s="6">
        <v>2361</v>
      </c>
      <c r="J406" s="7">
        <f t="shared" si="7"/>
        <v>3188</v>
      </c>
      <c r="K406" s="7">
        <f t="shared" si="8"/>
        <v>956.4</v>
      </c>
      <c r="L406" s="7">
        <f t="shared" si="9"/>
        <v>1</v>
      </c>
      <c r="M406" s="7">
        <f>IFERROR(VLOOKUP(G406,'Base de faturamento'!A:C,2,FALSE),0)</f>
        <v>5549</v>
      </c>
      <c r="N406" s="8">
        <f>IFERROR(VLOOKUP(G406,'Base de faturamento'!A:C,3,FALSE),0)</f>
        <v>44705</v>
      </c>
      <c r="O406" s="8">
        <f t="shared" si="10"/>
        <v>44713</v>
      </c>
      <c r="P406" s="8">
        <f t="shared" si="11"/>
        <v>44713</v>
      </c>
    </row>
    <row r="407" spans="1:16" ht="15" x14ac:dyDescent="0.25">
      <c r="A407" s="2" t="s">
        <v>545</v>
      </c>
      <c r="B407" s="2" t="s">
        <v>21</v>
      </c>
      <c r="C407" s="3" t="str">
        <f>VLOOKUP(B407,Dados!$A$3:$B$10,2,FALSE)</f>
        <v>Time 1</v>
      </c>
      <c r="D407" s="2" t="s">
        <v>18</v>
      </c>
      <c r="E407" s="2" t="s">
        <v>25</v>
      </c>
      <c r="F407" s="4" t="s">
        <v>546</v>
      </c>
      <c r="G407" s="5" t="str">
        <f t="shared" si="6"/>
        <v>43322872924</v>
      </c>
      <c r="H407" s="6">
        <v>6398</v>
      </c>
      <c r="I407" s="6">
        <v>2586</v>
      </c>
      <c r="J407" s="7">
        <f t="shared" si="7"/>
        <v>3812</v>
      </c>
      <c r="K407" s="7">
        <f t="shared" si="8"/>
        <v>762.40000000000009</v>
      </c>
      <c r="L407" s="7">
        <f t="shared" si="9"/>
        <v>1</v>
      </c>
      <c r="M407" s="7">
        <f>IFERROR(VLOOKUP(G407,'Base de faturamento'!A:C,2,FALSE),0)</f>
        <v>6398</v>
      </c>
      <c r="N407" s="8">
        <f>IFERROR(VLOOKUP(G407,'Base de faturamento'!A:C,3,FALSE),0)</f>
        <v>44656</v>
      </c>
      <c r="O407" s="8">
        <f t="shared" si="10"/>
        <v>44666</v>
      </c>
      <c r="P407" s="8">
        <f t="shared" si="11"/>
        <v>44682</v>
      </c>
    </row>
    <row r="408" spans="1:16" ht="15" x14ac:dyDescent="0.25">
      <c r="A408" s="2" t="s">
        <v>547</v>
      </c>
      <c r="B408" s="2" t="s">
        <v>17</v>
      </c>
      <c r="C408" s="3" t="str">
        <f>VLOOKUP(B408,Dados!$A$3:$B$10,2,FALSE)</f>
        <v>Time 3</v>
      </c>
      <c r="D408" s="2" t="s">
        <v>22</v>
      </c>
      <c r="E408" s="2" t="s">
        <v>19</v>
      </c>
      <c r="F408" s="4" t="s">
        <v>548</v>
      </c>
      <c r="G408" s="5" t="str">
        <f t="shared" si="6"/>
        <v>43379824955</v>
      </c>
      <c r="H408" s="6">
        <v>3384</v>
      </c>
      <c r="I408" s="6">
        <v>0</v>
      </c>
      <c r="J408" s="7">
        <f t="shared" si="7"/>
        <v>3384</v>
      </c>
      <c r="K408" s="7">
        <f t="shared" si="8"/>
        <v>1015.1999999999999</v>
      </c>
      <c r="L408" s="7">
        <f t="shared" si="9"/>
        <v>1</v>
      </c>
      <c r="M408" s="7">
        <f>IFERROR(VLOOKUP(G408,'Base de faturamento'!A:C,2,FALSE),0)</f>
        <v>3384</v>
      </c>
      <c r="N408" s="8">
        <f>IFERROR(VLOOKUP(G408,'Base de faturamento'!A:C,3,FALSE),0)</f>
        <v>44656</v>
      </c>
      <c r="O408" s="8">
        <f t="shared" si="10"/>
        <v>44682</v>
      </c>
      <c r="P408" s="8">
        <f t="shared" si="11"/>
        <v>44682</v>
      </c>
    </row>
    <row r="409" spans="1:16" ht="15" x14ac:dyDescent="0.25">
      <c r="A409" s="2" t="s">
        <v>549</v>
      </c>
      <c r="B409" s="2" t="s">
        <v>36</v>
      </c>
      <c r="C409" s="3" t="str">
        <f>VLOOKUP(B409,Dados!$A$3:$B$10,2,FALSE)</f>
        <v>Time 1</v>
      </c>
      <c r="D409" s="2" t="s">
        <v>22</v>
      </c>
      <c r="E409" s="2" t="s">
        <v>19</v>
      </c>
      <c r="F409" s="4" t="s">
        <v>550</v>
      </c>
      <c r="G409" s="5" t="str">
        <f t="shared" si="6"/>
        <v>43407359404</v>
      </c>
      <c r="H409" s="6">
        <v>9065</v>
      </c>
      <c r="I409" s="6">
        <v>0</v>
      </c>
      <c r="J409" s="7">
        <f t="shared" si="7"/>
        <v>9065</v>
      </c>
      <c r="K409" s="7">
        <f t="shared" si="8"/>
        <v>2719.5</v>
      </c>
      <c r="L409" s="7">
        <f t="shared" si="9"/>
        <v>1</v>
      </c>
      <c r="M409" s="7">
        <f>IFERROR(VLOOKUP(G409,'Base de faturamento'!A:C,2,FALSE),0)</f>
        <v>9065</v>
      </c>
      <c r="N409" s="8">
        <f>IFERROR(VLOOKUP(G409,'Base de faturamento'!A:C,3,FALSE),0)</f>
        <v>44630</v>
      </c>
      <c r="O409" s="8">
        <f t="shared" si="10"/>
        <v>44635</v>
      </c>
      <c r="P409" s="8">
        <f t="shared" si="11"/>
        <v>44652</v>
      </c>
    </row>
    <row r="410" spans="1:16" ht="15" x14ac:dyDescent="0.25">
      <c r="A410" s="2" t="s">
        <v>551</v>
      </c>
      <c r="B410" s="2" t="s">
        <v>27</v>
      </c>
      <c r="C410" s="3" t="str">
        <f>VLOOKUP(B410,Dados!$A$3:$B$10,2,FALSE)</f>
        <v>Time 2</v>
      </c>
      <c r="D410" s="2" t="s">
        <v>18</v>
      </c>
      <c r="E410" s="2" t="s">
        <v>19</v>
      </c>
      <c r="F410" s="4" t="s">
        <v>552</v>
      </c>
      <c r="G410" s="5" t="str">
        <f t="shared" si="6"/>
        <v>43507939792</v>
      </c>
      <c r="H410" s="6">
        <v>5812</v>
      </c>
      <c r="I410" s="6">
        <v>0</v>
      </c>
      <c r="J410" s="7">
        <f t="shared" si="7"/>
        <v>5812</v>
      </c>
      <c r="K410" s="7">
        <f t="shared" si="8"/>
        <v>1162.4000000000001</v>
      </c>
      <c r="L410" s="7">
        <f t="shared" si="9"/>
        <v>1</v>
      </c>
      <c r="M410" s="7">
        <f>IFERROR(VLOOKUP(G410,'Base de faturamento'!A:C,2,FALSE),0)</f>
        <v>5812</v>
      </c>
      <c r="N410" s="8">
        <f>IFERROR(VLOOKUP(G410,'Base de faturamento'!A:C,3,FALSE),0)</f>
        <v>44662</v>
      </c>
      <c r="O410" s="8">
        <f t="shared" si="10"/>
        <v>44682</v>
      </c>
      <c r="P410" s="8">
        <f t="shared" si="11"/>
        <v>44682</v>
      </c>
    </row>
    <row r="411" spans="1:16" ht="15" x14ac:dyDescent="0.25">
      <c r="A411" s="2" t="s">
        <v>553</v>
      </c>
      <c r="B411" s="2" t="s">
        <v>24</v>
      </c>
      <c r="C411" s="3" t="str">
        <f>VLOOKUP(B411,Dados!$A$3:$B$10,2,FALSE)</f>
        <v>Time 2</v>
      </c>
      <c r="D411" s="2" t="s">
        <v>18</v>
      </c>
      <c r="E411" s="2" t="s">
        <v>25</v>
      </c>
      <c r="F411" s="4" t="s">
        <v>554</v>
      </c>
      <c r="G411" s="5" t="str">
        <f t="shared" si="6"/>
        <v>43559699168</v>
      </c>
      <c r="H411" s="6">
        <v>3716</v>
      </c>
      <c r="I411" s="6">
        <v>7860</v>
      </c>
      <c r="J411" s="7">
        <f t="shared" si="7"/>
        <v>0</v>
      </c>
      <c r="K411" s="7">
        <f t="shared" si="8"/>
        <v>0</v>
      </c>
      <c r="L411" s="7">
        <f t="shared" si="9"/>
        <v>1</v>
      </c>
      <c r="M411" s="7">
        <f>IFERROR(VLOOKUP(G411,'Base de faturamento'!A:C,2,FALSE),0)</f>
        <v>3716</v>
      </c>
      <c r="N411" s="8">
        <f>IFERROR(VLOOKUP(G411,'Base de faturamento'!A:C,3,FALSE),0)</f>
        <v>44696</v>
      </c>
      <c r="O411" s="8">
        <f t="shared" si="10"/>
        <v>44713</v>
      </c>
      <c r="P411" s="8">
        <f t="shared" si="11"/>
        <v>44713</v>
      </c>
    </row>
    <row r="412" spans="1:16" ht="15" x14ac:dyDescent="0.25">
      <c r="A412" s="2" t="s">
        <v>555</v>
      </c>
      <c r="B412" s="2" t="s">
        <v>17</v>
      </c>
      <c r="C412" s="3" t="str">
        <f>VLOOKUP(B412,Dados!$A$3:$B$10,2,FALSE)</f>
        <v>Time 3</v>
      </c>
      <c r="D412" s="2" t="s">
        <v>22</v>
      </c>
      <c r="E412" s="2" t="s">
        <v>25</v>
      </c>
      <c r="F412" s="4" t="s">
        <v>556</v>
      </c>
      <c r="G412" s="5" t="str">
        <f t="shared" si="6"/>
        <v>43608723405</v>
      </c>
      <c r="H412" s="6">
        <v>4269</v>
      </c>
      <c r="I412" s="6">
        <v>3243</v>
      </c>
      <c r="J412" s="7">
        <f t="shared" si="7"/>
        <v>1026</v>
      </c>
      <c r="K412" s="7">
        <f t="shared" si="8"/>
        <v>307.8</v>
      </c>
      <c r="L412" s="7">
        <f t="shared" si="9"/>
        <v>1</v>
      </c>
      <c r="M412" s="7">
        <f>IFERROR(VLOOKUP(G412,'Base de faturamento'!A:C,2,FALSE),0)</f>
        <v>4269</v>
      </c>
      <c r="N412" s="8">
        <f>IFERROR(VLOOKUP(G412,'Base de faturamento'!A:C,3,FALSE),0)</f>
        <v>44734</v>
      </c>
      <c r="O412" s="8">
        <f t="shared" si="10"/>
        <v>44743</v>
      </c>
      <c r="P412" s="8">
        <f t="shared" si="11"/>
        <v>44743</v>
      </c>
    </row>
    <row r="413" spans="1:16" ht="15" x14ac:dyDescent="0.25">
      <c r="A413" s="2" t="s">
        <v>557</v>
      </c>
      <c r="B413" s="2" t="s">
        <v>27</v>
      </c>
      <c r="C413" s="3" t="str">
        <f>VLOOKUP(B413,Dados!$A$3:$B$10,2,FALSE)</f>
        <v>Time 2</v>
      </c>
      <c r="D413" s="2" t="s">
        <v>22</v>
      </c>
      <c r="E413" s="2" t="s">
        <v>25</v>
      </c>
      <c r="F413" s="4" t="s">
        <v>558</v>
      </c>
      <c r="G413" s="5" t="str">
        <f t="shared" si="6"/>
        <v>43699974883</v>
      </c>
      <c r="H413" s="6">
        <v>8844</v>
      </c>
      <c r="I413" s="6">
        <v>6170</v>
      </c>
      <c r="J413" s="7">
        <f t="shared" si="7"/>
        <v>2674</v>
      </c>
      <c r="K413" s="7">
        <f t="shared" si="8"/>
        <v>0</v>
      </c>
      <c r="L413" s="7">
        <f t="shared" si="9"/>
        <v>0</v>
      </c>
      <c r="M413" s="7">
        <f>IFERROR(VLOOKUP(G413,'Base de faturamento'!A:C,2,FALSE),0)</f>
        <v>0</v>
      </c>
      <c r="N413" s="8">
        <f>IFERROR(VLOOKUP(G413,'Base de faturamento'!A:C,3,FALSE),0)</f>
        <v>0</v>
      </c>
      <c r="O413" s="8">
        <f t="shared" si="10"/>
        <v>32</v>
      </c>
      <c r="P413" s="9" t="b">
        <f t="shared" si="11"/>
        <v>0</v>
      </c>
    </row>
    <row r="414" spans="1:16" ht="15" x14ac:dyDescent="0.25">
      <c r="A414" s="2" t="s">
        <v>559</v>
      </c>
      <c r="B414" s="2" t="s">
        <v>17</v>
      </c>
      <c r="C414" s="3" t="str">
        <f>VLOOKUP(B414,Dados!$A$3:$B$10,2,FALSE)</f>
        <v>Time 3</v>
      </c>
      <c r="D414" s="2" t="s">
        <v>22</v>
      </c>
      <c r="E414" s="2" t="s">
        <v>19</v>
      </c>
      <c r="F414" s="4" t="s">
        <v>560</v>
      </c>
      <c r="G414" s="5" t="str">
        <f t="shared" si="6"/>
        <v>43867227088</v>
      </c>
      <c r="H414" s="6">
        <v>4662</v>
      </c>
      <c r="I414" s="6">
        <v>0</v>
      </c>
      <c r="J414" s="7">
        <f t="shared" si="7"/>
        <v>4662</v>
      </c>
      <c r="K414" s="7">
        <f t="shared" si="8"/>
        <v>1398.6</v>
      </c>
      <c r="L414" s="7">
        <f t="shared" si="9"/>
        <v>1</v>
      </c>
      <c r="M414" s="7">
        <f>IFERROR(VLOOKUP(G414,'Base de faturamento'!A:C,2,FALSE),0)</f>
        <v>4662</v>
      </c>
      <c r="N414" s="8">
        <f>IFERROR(VLOOKUP(G414,'Base de faturamento'!A:C,3,FALSE),0)</f>
        <v>44644</v>
      </c>
      <c r="O414" s="8">
        <f t="shared" si="10"/>
        <v>44652</v>
      </c>
      <c r="P414" s="8">
        <f t="shared" si="11"/>
        <v>44652</v>
      </c>
    </row>
    <row r="415" spans="1:16" ht="15" x14ac:dyDescent="0.25">
      <c r="A415" s="2" t="s">
        <v>561</v>
      </c>
      <c r="B415" s="2" t="s">
        <v>33</v>
      </c>
      <c r="C415" s="3" t="str">
        <f>VLOOKUP(B415,Dados!$A$3:$B$10,2,FALSE)</f>
        <v>Time 1</v>
      </c>
      <c r="D415" s="2" t="s">
        <v>18</v>
      </c>
      <c r="E415" s="2" t="s">
        <v>25</v>
      </c>
      <c r="F415" s="4" t="s">
        <v>562</v>
      </c>
      <c r="G415" s="5" t="str">
        <f t="shared" si="6"/>
        <v>44325316048</v>
      </c>
      <c r="H415" s="6">
        <v>5785</v>
      </c>
      <c r="I415" s="6">
        <v>6155</v>
      </c>
      <c r="J415" s="7">
        <f t="shared" si="7"/>
        <v>0</v>
      </c>
      <c r="K415" s="7">
        <f t="shared" si="8"/>
        <v>0</v>
      </c>
      <c r="L415" s="7">
        <f t="shared" si="9"/>
        <v>1</v>
      </c>
      <c r="M415" s="7">
        <f>IFERROR(VLOOKUP(G415,'Base de faturamento'!A:C,2,FALSE),0)</f>
        <v>5785</v>
      </c>
      <c r="N415" s="8">
        <f>IFERROR(VLOOKUP(G415,'Base de faturamento'!A:C,3,FALSE),0)</f>
        <v>44662</v>
      </c>
      <c r="O415" s="8">
        <f t="shared" si="10"/>
        <v>44666</v>
      </c>
      <c r="P415" s="8">
        <f t="shared" si="11"/>
        <v>44682</v>
      </c>
    </row>
    <row r="416" spans="1:16" ht="15" x14ac:dyDescent="0.25">
      <c r="A416" s="2" t="s">
        <v>563</v>
      </c>
      <c r="B416" s="2" t="s">
        <v>29</v>
      </c>
      <c r="C416" s="3" t="str">
        <f>VLOOKUP(B416,Dados!$A$3:$B$10,2,FALSE)</f>
        <v>Time 2</v>
      </c>
      <c r="D416" s="2" t="s">
        <v>18</v>
      </c>
      <c r="E416" s="2" t="s">
        <v>19</v>
      </c>
      <c r="F416" s="4" t="s">
        <v>564</v>
      </c>
      <c r="G416" s="5" t="str">
        <f t="shared" si="6"/>
        <v>44415370572</v>
      </c>
      <c r="H416" s="6">
        <v>6874</v>
      </c>
      <c r="I416" s="6">
        <v>0</v>
      </c>
      <c r="J416" s="7">
        <f t="shared" si="7"/>
        <v>6874</v>
      </c>
      <c r="K416" s="7">
        <f t="shared" si="8"/>
        <v>1374.8000000000002</v>
      </c>
      <c r="L416" s="7">
        <f t="shared" si="9"/>
        <v>1</v>
      </c>
      <c r="M416" s="7">
        <f>IFERROR(VLOOKUP(G416,'Base de faturamento'!A:C,2,FALSE),0)</f>
        <v>6874</v>
      </c>
      <c r="N416" s="8">
        <f>IFERROR(VLOOKUP(G416,'Base de faturamento'!A:C,3,FALSE),0)</f>
        <v>44681</v>
      </c>
      <c r="O416" s="8">
        <f t="shared" si="10"/>
        <v>44682</v>
      </c>
      <c r="P416" s="8">
        <f t="shared" si="11"/>
        <v>44682</v>
      </c>
    </row>
    <row r="417" spans="1:16" ht="15" x14ac:dyDescent="0.25">
      <c r="A417" s="2" t="s">
        <v>565</v>
      </c>
      <c r="B417" s="2" t="s">
        <v>17</v>
      </c>
      <c r="C417" s="3" t="str">
        <f>VLOOKUP(B417,Dados!$A$3:$B$10,2,FALSE)</f>
        <v>Time 3</v>
      </c>
      <c r="D417" s="2" t="s">
        <v>22</v>
      </c>
      <c r="E417" s="2" t="s">
        <v>19</v>
      </c>
      <c r="F417" s="4" t="s">
        <v>566</v>
      </c>
      <c r="G417" s="5" t="str">
        <f t="shared" si="6"/>
        <v>44452619235</v>
      </c>
      <c r="H417" s="6">
        <v>2233</v>
      </c>
      <c r="I417" s="6">
        <v>0</v>
      </c>
      <c r="J417" s="7">
        <f t="shared" si="7"/>
        <v>2233</v>
      </c>
      <c r="K417" s="7">
        <f t="shared" si="8"/>
        <v>669.9</v>
      </c>
      <c r="L417" s="7">
        <f t="shared" si="9"/>
        <v>1</v>
      </c>
      <c r="M417" s="7">
        <f>IFERROR(VLOOKUP(G417,'Base de faturamento'!A:C,2,FALSE),0)</f>
        <v>2233</v>
      </c>
      <c r="N417" s="8">
        <f>IFERROR(VLOOKUP(G417,'Base de faturamento'!A:C,3,FALSE),0)</f>
        <v>44691</v>
      </c>
      <c r="O417" s="8">
        <f t="shared" si="10"/>
        <v>44713</v>
      </c>
      <c r="P417" s="8">
        <f t="shared" si="11"/>
        <v>44713</v>
      </c>
    </row>
    <row r="418" spans="1:16" ht="15" x14ac:dyDescent="0.25">
      <c r="A418" s="2" t="s">
        <v>567</v>
      </c>
      <c r="B418" s="2" t="s">
        <v>24</v>
      </c>
      <c r="C418" s="3" t="str">
        <f>VLOOKUP(B418,Dados!$A$3:$B$10,2,FALSE)</f>
        <v>Time 2</v>
      </c>
      <c r="D418" s="2" t="s">
        <v>18</v>
      </c>
      <c r="E418" s="2" t="s">
        <v>19</v>
      </c>
      <c r="F418" s="4" t="s">
        <v>568</v>
      </c>
      <c r="G418" s="5" t="str">
        <f t="shared" si="6"/>
        <v>44670876976</v>
      </c>
      <c r="H418" s="6">
        <v>3659</v>
      </c>
      <c r="I418" s="6">
        <v>0</v>
      </c>
      <c r="J418" s="7">
        <f t="shared" si="7"/>
        <v>3659</v>
      </c>
      <c r="K418" s="7">
        <f t="shared" si="8"/>
        <v>731.80000000000007</v>
      </c>
      <c r="L418" s="7">
        <f t="shared" si="9"/>
        <v>1</v>
      </c>
      <c r="M418" s="7">
        <f>IFERROR(VLOOKUP(G418,'Base de faturamento'!A:C,2,FALSE),0)</f>
        <v>3659</v>
      </c>
      <c r="N418" s="8">
        <f>IFERROR(VLOOKUP(G418,'Base de faturamento'!A:C,3,FALSE),0)</f>
        <v>44623</v>
      </c>
      <c r="O418" s="8">
        <f t="shared" si="10"/>
        <v>44652</v>
      </c>
      <c r="P418" s="8">
        <f t="shared" si="11"/>
        <v>44652</v>
      </c>
    </row>
    <row r="419" spans="1:16" ht="15" x14ac:dyDescent="0.25">
      <c r="A419" s="2" t="s">
        <v>569</v>
      </c>
      <c r="B419" s="2" t="s">
        <v>24</v>
      </c>
      <c r="C419" s="3" t="str">
        <f>VLOOKUP(B419,Dados!$A$3:$B$10,2,FALSE)</f>
        <v>Time 2</v>
      </c>
      <c r="D419" s="2" t="s">
        <v>22</v>
      </c>
      <c r="E419" s="2" t="s">
        <v>19</v>
      </c>
      <c r="F419" s="4" t="s">
        <v>570</v>
      </c>
      <c r="G419" s="5" t="str">
        <f t="shared" si="6"/>
        <v>44820974258</v>
      </c>
      <c r="H419" s="6">
        <v>5540</v>
      </c>
      <c r="I419" s="6">
        <v>0</v>
      </c>
      <c r="J419" s="7">
        <f t="shared" si="7"/>
        <v>5540</v>
      </c>
      <c r="K419" s="7">
        <f t="shared" si="8"/>
        <v>1662</v>
      </c>
      <c r="L419" s="7">
        <f t="shared" si="9"/>
        <v>1</v>
      </c>
      <c r="M419" s="7">
        <f>IFERROR(VLOOKUP(G419,'Base de faturamento'!A:C,2,FALSE),0)</f>
        <v>5540</v>
      </c>
      <c r="N419" s="8">
        <f>IFERROR(VLOOKUP(G419,'Base de faturamento'!A:C,3,FALSE),0)</f>
        <v>44718</v>
      </c>
      <c r="O419" s="8">
        <f t="shared" si="10"/>
        <v>44743</v>
      </c>
      <c r="P419" s="8">
        <f t="shared" si="11"/>
        <v>44743</v>
      </c>
    </row>
    <row r="420" spans="1:16" ht="15" x14ac:dyDescent="0.25">
      <c r="A420" s="2" t="s">
        <v>571</v>
      </c>
      <c r="B420" s="2" t="s">
        <v>21</v>
      </c>
      <c r="C420" s="3" t="str">
        <f>VLOOKUP(B420,Dados!$A$3:$B$10,2,FALSE)</f>
        <v>Time 1</v>
      </c>
      <c r="D420" s="2" t="s">
        <v>22</v>
      </c>
      <c r="E420" s="2" t="s">
        <v>19</v>
      </c>
      <c r="F420" s="4" t="s">
        <v>572</v>
      </c>
      <c r="G420" s="5" t="str">
        <f t="shared" si="6"/>
        <v>44837329594</v>
      </c>
      <c r="H420" s="6">
        <v>6969</v>
      </c>
      <c r="I420" s="6">
        <v>0</v>
      </c>
      <c r="J420" s="7">
        <f t="shared" si="7"/>
        <v>6969</v>
      </c>
      <c r="K420" s="7">
        <f t="shared" si="8"/>
        <v>2090.6999999999998</v>
      </c>
      <c r="L420" s="7">
        <f t="shared" si="9"/>
        <v>1</v>
      </c>
      <c r="M420" s="7">
        <f>IFERROR(VLOOKUP(G420,'Base de faturamento'!A:C,2,FALSE),0)</f>
        <v>6969</v>
      </c>
      <c r="N420" s="8">
        <f>IFERROR(VLOOKUP(G420,'Base de faturamento'!A:C,3,FALSE),0)</f>
        <v>44668</v>
      </c>
      <c r="O420" s="8">
        <f t="shared" si="10"/>
        <v>44666</v>
      </c>
      <c r="P420" s="8">
        <f t="shared" si="11"/>
        <v>44682</v>
      </c>
    </row>
    <row r="421" spans="1:16" ht="15" x14ac:dyDescent="0.25">
      <c r="A421" s="2" t="s">
        <v>573</v>
      </c>
      <c r="B421" s="2" t="s">
        <v>17</v>
      </c>
      <c r="C421" s="3" t="str">
        <f>VLOOKUP(B421,Dados!$A$3:$B$10,2,FALSE)</f>
        <v>Time 3</v>
      </c>
      <c r="D421" s="2" t="s">
        <v>22</v>
      </c>
      <c r="E421" s="2" t="s">
        <v>19</v>
      </c>
      <c r="F421" s="4" t="s">
        <v>574</v>
      </c>
      <c r="G421" s="5" t="str">
        <f t="shared" si="6"/>
        <v>45070089121</v>
      </c>
      <c r="H421" s="6">
        <v>7131</v>
      </c>
      <c r="I421" s="6">
        <v>0</v>
      </c>
      <c r="J421" s="7">
        <f t="shared" si="7"/>
        <v>7131</v>
      </c>
      <c r="K421" s="7">
        <f t="shared" si="8"/>
        <v>2139.2999999999997</v>
      </c>
      <c r="L421" s="7">
        <f t="shared" si="9"/>
        <v>1</v>
      </c>
      <c r="M421" s="7">
        <f>IFERROR(VLOOKUP(G421,'Base de faturamento'!A:C,2,FALSE),0)</f>
        <v>7131</v>
      </c>
      <c r="N421" s="8">
        <f>IFERROR(VLOOKUP(G421,'Base de faturamento'!A:C,3,FALSE),0)</f>
        <v>44670</v>
      </c>
      <c r="O421" s="8">
        <f t="shared" si="10"/>
        <v>44682</v>
      </c>
      <c r="P421" s="8">
        <f t="shared" si="11"/>
        <v>44682</v>
      </c>
    </row>
    <row r="422" spans="1:16" ht="15" x14ac:dyDescent="0.25">
      <c r="A422" s="2" t="s">
        <v>575</v>
      </c>
      <c r="B422" s="2" t="s">
        <v>31</v>
      </c>
      <c r="C422" s="3" t="str">
        <f>VLOOKUP(B422,Dados!$A$3:$B$10,2,FALSE)</f>
        <v>Time 3</v>
      </c>
      <c r="D422" s="2" t="s">
        <v>22</v>
      </c>
      <c r="E422" s="2" t="s">
        <v>25</v>
      </c>
      <c r="F422" s="4" t="s">
        <v>576</v>
      </c>
      <c r="G422" s="5" t="str">
        <f t="shared" si="6"/>
        <v>45575206843</v>
      </c>
      <c r="H422" s="6">
        <v>8629</v>
      </c>
      <c r="I422" s="6">
        <v>6633</v>
      </c>
      <c r="J422" s="7">
        <f t="shared" si="7"/>
        <v>1996</v>
      </c>
      <c r="K422" s="7">
        <f t="shared" si="8"/>
        <v>598.79999999999995</v>
      </c>
      <c r="L422" s="7">
        <f t="shared" si="9"/>
        <v>1</v>
      </c>
      <c r="M422" s="7">
        <f>IFERROR(VLOOKUP(G422,'Base de faturamento'!A:C,2,FALSE),0)</f>
        <v>8629</v>
      </c>
      <c r="N422" s="8">
        <f>IFERROR(VLOOKUP(G422,'Base de faturamento'!A:C,3,FALSE),0)</f>
        <v>44717</v>
      </c>
      <c r="O422" s="8">
        <f t="shared" si="10"/>
        <v>44743</v>
      </c>
      <c r="P422" s="8">
        <f t="shared" si="11"/>
        <v>44743</v>
      </c>
    </row>
    <row r="423" spans="1:16" ht="15" x14ac:dyDescent="0.25">
      <c r="A423" s="2" t="s">
        <v>577</v>
      </c>
      <c r="B423" s="2" t="s">
        <v>21</v>
      </c>
      <c r="C423" s="3" t="str">
        <f>VLOOKUP(B423,Dados!$A$3:$B$10,2,FALSE)</f>
        <v>Time 1</v>
      </c>
      <c r="D423" s="2" t="s">
        <v>18</v>
      </c>
      <c r="E423" s="2" t="s">
        <v>19</v>
      </c>
      <c r="F423" s="4" t="s">
        <v>578</v>
      </c>
      <c r="G423" s="5" t="str">
        <f t="shared" si="6"/>
        <v>45698011895</v>
      </c>
      <c r="H423" s="6">
        <v>5857</v>
      </c>
      <c r="I423" s="6">
        <v>0</v>
      </c>
      <c r="J423" s="7">
        <f t="shared" si="7"/>
        <v>5857</v>
      </c>
      <c r="K423" s="7">
        <f t="shared" si="8"/>
        <v>1171.4000000000001</v>
      </c>
      <c r="L423" s="7">
        <f t="shared" si="9"/>
        <v>1</v>
      </c>
      <c r="M423" s="7">
        <f>IFERROR(VLOOKUP(G423,'Base de faturamento'!A:C,2,FALSE),0)</f>
        <v>5857</v>
      </c>
      <c r="N423" s="8">
        <f>IFERROR(VLOOKUP(G423,'Base de faturamento'!A:C,3,FALSE),0)</f>
        <v>44646</v>
      </c>
      <c r="O423" s="8">
        <f t="shared" si="10"/>
        <v>44635</v>
      </c>
      <c r="P423" s="8">
        <f t="shared" si="11"/>
        <v>44652</v>
      </c>
    </row>
    <row r="424" spans="1:16" ht="15" x14ac:dyDescent="0.25">
      <c r="A424" s="2" t="s">
        <v>579</v>
      </c>
      <c r="B424" s="2" t="s">
        <v>31</v>
      </c>
      <c r="C424" s="3" t="str">
        <f>VLOOKUP(B424,Dados!$A$3:$B$10,2,FALSE)</f>
        <v>Time 3</v>
      </c>
      <c r="D424" s="2" t="s">
        <v>22</v>
      </c>
      <c r="E424" s="2" t="s">
        <v>25</v>
      </c>
      <c r="F424" s="4" t="s">
        <v>580</v>
      </c>
      <c r="G424" s="5" t="str">
        <f t="shared" si="6"/>
        <v>45765940289</v>
      </c>
      <c r="H424" s="6">
        <v>2588</v>
      </c>
      <c r="I424" s="6">
        <v>9897</v>
      </c>
      <c r="J424" s="7">
        <f t="shared" si="7"/>
        <v>0</v>
      </c>
      <c r="K424" s="7">
        <f t="shared" si="8"/>
        <v>0</v>
      </c>
      <c r="L424" s="7">
        <f t="shared" si="9"/>
        <v>1</v>
      </c>
      <c r="M424" s="7">
        <f>IFERROR(VLOOKUP(G424,'Base de faturamento'!A:C,2,FALSE),0)</f>
        <v>2588</v>
      </c>
      <c r="N424" s="8">
        <f>IFERROR(VLOOKUP(G424,'Base de faturamento'!A:C,3,FALSE),0)</f>
        <v>44655</v>
      </c>
      <c r="O424" s="8">
        <f t="shared" si="10"/>
        <v>44682</v>
      </c>
      <c r="P424" s="8">
        <f t="shared" si="11"/>
        <v>44682</v>
      </c>
    </row>
    <row r="425" spans="1:16" ht="15" x14ac:dyDescent="0.25">
      <c r="A425" s="2" t="s">
        <v>581</v>
      </c>
      <c r="B425" s="2" t="s">
        <v>36</v>
      </c>
      <c r="C425" s="3" t="str">
        <f>VLOOKUP(B425,Dados!$A$3:$B$10,2,FALSE)</f>
        <v>Time 1</v>
      </c>
      <c r="D425" s="2" t="s">
        <v>22</v>
      </c>
      <c r="E425" s="2" t="s">
        <v>19</v>
      </c>
      <c r="F425" s="4" t="s">
        <v>582</v>
      </c>
      <c r="G425" s="5" t="str">
        <f t="shared" si="6"/>
        <v>46428103568</v>
      </c>
      <c r="H425" s="6">
        <v>4389</v>
      </c>
      <c r="I425" s="6">
        <v>0</v>
      </c>
      <c r="J425" s="7">
        <f t="shared" si="7"/>
        <v>4389</v>
      </c>
      <c r="K425" s="7">
        <f t="shared" si="8"/>
        <v>1316.7</v>
      </c>
      <c r="L425" s="7">
        <f t="shared" si="9"/>
        <v>1</v>
      </c>
      <c r="M425" s="7">
        <f>IFERROR(VLOOKUP(G425,'Base de faturamento'!A:C,2,FALSE),0)</f>
        <v>4389</v>
      </c>
      <c r="N425" s="8">
        <f>IFERROR(VLOOKUP(G425,'Base de faturamento'!A:C,3,FALSE),0)</f>
        <v>44643</v>
      </c>
      <c r="O425" s="8">
        <f t="shared" si="10"/>
        <v>44635</v>
      </c>
      <c r="P425" s="8">
        <f t="shared" si="11"/>
        <v>44652</v>
      </c>
    </row>
    <row r="426" spans="1:16" ht="15" x14ac:dyDescent="0.25">
      <c r="A426" s="2" t="s">
        <v>583</v>
      </c>
      <c r="B426" s="2" t="s">
        <v>33</v>
      </c>
      <c r="C426" s="3" t="str">
        <f>VLOOKUP(B426,Dados!$A$3:$B$10,2,FALSE)</f>
        <v>Time 1</v>
      </c>
      <c r="D426" s="2" t="s">
        <v>22</v>
      </c>
      <c r="E426" s="2" t="s">
        <v>25</v>
      </c>
      <c r="F426" s="4" t="s">
        <v>584</v>
      </c>
      <c r="G426" s="5" t="str">
        <f t="shared" si="6"/>
        <v>47555422349</v>
      </c>
      <c r="H426" s="6">
        <v>7393</v>
      </c>
      <c r="I426" s="6">
        <v>1393</v>
      </c>
      <c r="J426" s="7">
        <f t="shared" si="7"/>
        <v>6000</v>
      </c>
      <c r="K426" s="7">
        <f t="shared" si="8"/>
        <v>0</v>
      </c>
      <c r="L426" s="7">
        <f t="shared" si="9"/>
        <v>0</v>
      </c>
      <c r="M426" s="7">
        <f>IFERROR(VLOOKUP(G426,'Base de faturamento'!A:C,2,FALSE),0)</f>
        <v>0</v>
      </c>
      <c r="N426" s="8">
        <f>IFERROR(VLOOKUP(G426,'Base de faturamento'!A:C,3,FALSE),0)</f>
        <v>0</v>
      </c>
      <c r="O426" s="8">
        <f t="shared" si="10"/>
        <v>15</v>
      </c>
      <c r="P426" s="9" t="b">
        <f t="shared" si="11"/>
        <v>0</v>
      </c>
    </row>
    <row r="427" spans="1:16" ht="15" x14ac:dyDescent="0.25">
      <c r="A427" s="2" t="s">
        <v>585</v>
      </c>
      <c r="B427" s="2" t="s">
        <v>33</v>
      </c>
      <c r="C427" s="3" t="str">
        <f>VLOOKUP(B427,Dados!$A$3:$B$10,2,FALSE)</f>
        <v>Time 1</v>
      </c>
      <c r="D427" s="2" t="s">
        <v>18</v>
      </c>
      <c r="E427" s="2" t="s">
        <v>25</v>
      </c>
      <c r="F427" s="4" t="s">
        <v>586</v>
      </c>
      <c r="G427" s="5" t="str">
        <f t="shared" si="6"/>
        <v>48146025205</v>
      </c>
      <c r="H427" s="6">
        <v>8478</v>
      </c>
      <c r="I427" s="6">
        <v>7186</v>
      </c>
      <c r="J427" s="7">
        <f t="shared" si="7"/>
        <v>1292</v>
      </c>
      <c r="K427" s="7">
        <f t="shared" si="8"/>
        <v>258.40000000000003</v>
      </c>
      <c r="L427" s="7">
        <f t="shared" si="9"/>
        <v>1</v>
      </c>
      <c r="M427" s="7">
        <f>IFERROR(VLOOKUP(G427,'Base de faturamento'!A:C,2,FALSE),0)</f>
        <v>8478</v>
      </c>
      <c r="N427" s="8">
        <f>IFERROR(VLOOKUP(G427,'Base de faturamento'!A:C,3,FALSE),0)</f>
        <v>44704</v>
      </c>
      <c r="O427" s="8">
        <f t="shared" si="10"/>
        <v>44696</v>
      </c>
      <c r="P427" s="8">
        <f t="shared" si="11"/>
        <v>44713</v>
      </c>
    </row>
    <row r="428" spans="1:16" ht="15" x14ac:dyDescent="0.25">
      <c r="A428" s="2" t="s">
        <v>587</v>
      </c>
      <c r="B428" s="2" t="s">
        <v>36</v>
      </c>
      <c r="C428" s="3" t="str">
        <f>VLOOKUP(B428,Dados!$A$3:$B$10,2,FALSE)</f>
        <v>Time 1</v>
      </c>
      <c r="D428" s="2" t="s">
        <v>18</v>
      </c>
      <c r="E428" s="2" t="s">
        <v>25</v>
      </c>
      <c r="F428" s="4" t="s">
        <v>588</v>
      </c>
      <c r="G428" s="5" t="str">
        <f t="shared" si="6"/>
        <v>48713852638</v>
      </c>
      <c r="H428" s="6">
        <v>3421</v>
      </c>
      <c r="I428" s="6">
        <v>5107</v>
      </c>
      <c r="J428" s="7">
        <f t="shared" si="7"/>
        <v>0</v>
      </c>
      <c r="K428" s="7">
        <f t="shared" si="8"/>
        <v>0</v>
      </c>
      <c r="L428" s="7">
        <f t="shared" si="9"/>
        <v>1</v>
      </c>
      <c r="M428" s="7">
        <f>IFERROR(VLOOKUP(G428,'Base de faturamento'!A:C,2,FALSE),0)</f>
        <v>3421</v>
      </c>
      <c r="N428" s="8">
        <f>IFERROR(VLOOKUP(G428,'Base de faturamento'!A:C,3,FALSE),0)</f>
        <v>44704</v>
      </c>
      <c r="O428" s="8">
        <f t="shared" si="10"/>
        <v>44696</v>
      </c>
      <c r="P428" s="8">
        <f t="shared" si="11"/>
        <v>44713</v>
      </c>
    </row>
    <row r="429" spans="1:16" ht="15" x14ac:dyDescent="0.25">
      <c r="A429" s="2" t="s">
        <v>589</v>
      </c>
      <c r="B429" s="2" t="s">
        <v>17</v>
      </c>
      <c r="C429" s="3" t="str">
        <f>VLOOKUP(B429,Dados!$A$3:$B$10,2,FALSE)</f>
        <v>Time 3</v>
      </c>
      <c r="D429" s="2" t="s">
        <v>22</v>
      </c>
      <c r="E429" s="2" t="s">
        <v>19</v>
      </c>
      <c r="F429" s="4" t="s">
        <v>590</v>
      </c>
      <c r="G429" s="5" t="str">
        <f t="shared" si="6"/>
        <v>48834908357</v>
      </c>
      <c r="H429" s="6">
        <v>7976</v>
      </c>
      <c r="I429" s="6">
        <v>0</v>
      </c>
      <c r="J429" s="7">
        <f t="shared" si="7"/>
        <v>7976</v>
      </c>
      <c r="K429" s="7">
        <f t="shared" si="8"/>
        <v>2392.7999999999997</v>
      </c>
      <c r="L429" s="7">
        <f t="shared" si="9"/>
        <v>1</v>
      </c>
      <c r="M429" s="7">
        <f>IFERROR(VLOOKUP(G429,'Base de faturamento'!A:C,2,FALSE),0)</f>
        <v>7976</v>
      </c>
      <c r="N429" s="8">
        <f>IFERROR(VLOOKUP(G429,'Base de faturamento'!A:C,3,FALSE),0)</f>
        <v>44685</v>
      </c>
      <c r="O429" s="8">
        <f t="shared" si="10"/>
        <v>44713</v>
      </c>
      <c r="P429" s="8">
        <f t="shared" si="11"/>
        <v>44713</v>
      </c>
    </row>
    <row r="430" spans="1:16" ht="15" x14ac:dyDescent="0.25">
      <c r="A430" s="2" t="s">
        <v>591</v>
      </c>
      <c r="B430" s="2" t="s">
        <v>33</v>
      </c>
      <c r="C430" s="3" t="str">
        <f>VLOOKUP(B430,Dados!$A$3:$B$10,2,FALSE)</f>
        <v>Time 1</v>
      </c>
      <c r="D430" s="2" t="s">
        <v>18</v>
      </c>
      <c r="E430" s="2" t="s">
        <v>25</v>
      </c>
      <c r="F430" s="4" t="s">
        <v>592</v>
      </c>
      <c r="G430" s="5" t="str">
        <f t="shared" si="6"/>
        <v>48891661242</v>
      </c>
      <c r="H430" s="6">
        <v>5805</v>
      </c>
      <c r="I430" s="6">
        <v>8467</v>
      </c>
      <c r="J430" s="7">
        <f t="shared" si="7"/>
        <v>0</v>
      </c>
      <c r="K430" s="7">
        <f t="shared" si="8"/>
        <v>0</v>
      </c>
      <c r="L430" s="7">
        <f t="shared" si="9"/>
        <v>1</v>
      </c>
      <c r="M430" s="7">
        <f>IFERROR(VLOOKUP(G430,'Base de faturamento'!A:C,2,FALSE),0)</f>
        <v>5805</v>
      </c>
      <c r="N430" s="8">
        <f>IFERROR(VLOOKUP(G430,'Base de faturamento'!A:C,3,FALSE),0)</f>
        <v>44700</v>
      </c>
      <c r="O430" s="8">
        <f t="shared" si="10"/>
        <v>44696</v>
      </c>
      <c r="P430" s="8">
        <f t="shared" si="11"/>
        <v>44713</v>
      </c>
    </row>
    <row r="431" spans="1:16" ht="15" x14ac:dyDescent="0.25">
      <c r="A431" s="2" t="s">
        <v>593</v>
      </c>
      <c r="B431" s="2" t="s">
        <v>24</v>
      </c>
      <c r="C431" s="3" t="str">
        <f>VLOOKUP(B431,Dados!$A$3:$B$10,2,FALSE)</f>
        <v>Time 2</v>
      </c>
      <c r="D431" s="2" t="s">
        <v>22</v>
      </c>
      <c r="E431" s="2" t="s">
        <v>19</v>
      </c>
      <c r="F431" s="4" t="s">
        <v>594</v>
      </c>
      <c r="G431" s="5" t="str">
        <f t="shared" si="6"/>
        <v>48950981459</v>
      </c>
      <c r="H431" s="6">
        <v>3187</v>
      </c>
      <c r="I431" s="6">
        <v>0</v>
      </c>
      <c r="J431" s="7">
        <f t="shared" si="7"/>
        <v>3187</v>
      </c>
      <c r="K431" s="7">
        <f t="shared" si="8"/>
        <v>956.09999999999991</v>
      </c>
      <c r="L431" s="7">
        <f t="shared" si="9"/>
        <v>1</v>
      </c>
      <c r="M431" s="7">
        <f>IFERROR(VLOOKUP(G431,'Base de faturamento'!A:C,2,FALSE),0)</f>
        <v>3187</v>
      </c>
      <c r="N431" s="8">
        <f>IFERROR(VLOOKUP(G431,'Base de faturamento'!A:C,3,FALSE),0)</f>
        <v>44657</v>
      </c>
      <c r="O431" s="8">
        <f t="shared" si="10"/>
        <v>44682</v>
      </c>
      <c r="P431" s="8">
        <f t="shared" si="11"/>
        <v>44682</v>
      </c>
    </row>
    <row r="432" spans="1:16" ht="15" x14ac:dyDescent="0.25">
      <c r="A432" s="2" t="s">
        <v>595</v>
      </c>
      <c r="B432" s="2" t="s">
        <v>17</v>
      </c>
      <c r="C432" s="3" t="str">
        <f>VLOOKUP(B432,Dados!$A$3:$B$10,2,FALSE)</f>
        <v>Time 3</v>
      </c>
      <c r="D432" s="2" t="s">
        <v>18</v>
      </c>
      <c r="E432" s="2" t="s">
        <v>25</v>
      </c>
      <c r="F432" s="4" t="s">
        <v>596</v>
      </c>
      <c r="G432" s="5" t="str">
        <f t="shared" si="6"/>
        <v>49436795126</v>
      </c>
      <c r="H432" s="6">
        <v>3318</v>
      </c>
      <c r="I432" s="6">
        <v>9216</v>
      </c>
      <c r="J432" s="7">
        <f t="shared" si="7"/>
        <v>0</v>
      </c>
      <c r="K432" s="7">
        <f t="shared" si="8"/>
        <v>0</v>
      </c>
      <c r="L432" s="7">
        <f t="shared" si="9"/>
        <v>1</v>
      </c>
      <c r="M432" s="7">
        <f>IFERROR(VLOOKUP(G432,'Base de faturamento'!A:C,2,FALSE),0)</f>
        <v>3318</v>
      </c>
      <c r="N432" s="8">
        <f>IFERROR(VLOOKUP(G432,'Base de faturamento'!A:C,3,FALSE),0)</f>
        <v>44654</v>
      </c>
      <c r="O432" s="8">
        <f t="shared" si="10"/>
        <v>44682</v>
      </c>
      <c r="P432" s="8">
        <f t="shared" si="11"/>
        <v>44682</v>
      </c>
    </row>
    <row r="433" spans="1:16" ht="15" x14ac:dyDescent="0.25">
      <c r="A433" s="2" t="s">
        <v>597</v>
      </c>
      <c r="B433" s="2" t="s">
        <v>24</v>
      </c>
      <c r="C433" s="3" t="str">
        <f>VLOOKUP(B433,Dados!$A$3:$B$10,2,FALSE)</f>
        <v>Time 2</v>
      </c>
      <c r="D433" s="2" t="s">
        <v>22</v>
      </c>
      <c r="E433" s="2" t="s">
        <v>25</v>
      </c>
      <c r="F433" s="4" t="s">
        <v>598</v>
      </c>
      <c r="G433" s="5" t="str">
        <f t="shared" si="6"/>
        <v>49648067475</v>
      </c>
      <c r="H433" s="6">
        <v>2216</v>
      </c>
      <c r="I433" s="6">
        <v>9286</v>
      </c>
      <c r="J433" s="7">
        <f t="shared" si="7"/>
        <v>0</v>
      </c>
      <c r="K433" s="7">
        <f t="shared" si="8"/>
        <v>0</v>
      </c>
      <c r="L433" s="7">
        <f t="shared" si="9"/>
        <v>1</v>
      </c>
      <c r="M433" s="7">
        <f>IFERROR(VLOOKUP(G433,'Base de faturamento'!A:C,2,FALSE),0)</f>
        <v>2216</v>
      </c>
      <c r="N433" s="8">
        <f>IFERROR(VLOOKUP(G433,'Base de faturamento'!A:C,3,FALSE),0)</f>
        <v>44695</v>
      </c>
      <c r="O433" s="8">
        <f t="shared" si="10"/>
        <v>44713</v>
      </c>
      <c r="P433" s="8">
        <f t="shared" si="11"/>
        <v>44713</v>
      </c>
    </row>
    <row r="434" spans="1:16" ht="15" x14ac:dyDescent="0.25">
      <c r="A434" s="2" t="s">
        <v>599</v>
      </c>
      <c r="B434" s="2" t="s">
        <v>27</v>
      </c>
      <c r="C434" s="3" t="str">
        <f>VLOOKUP(B434,Dados!$A$3:$B$10,2,FALSE)</f>
        <v>Time 2</v>
      </c>
      <c r="D434" s="2" t="s">
        <v>22</v>
      </c>
      <c r="E434" s="2" t="s">
        <v>19</v>
      </c>
      <c r="F434" s="4" t="s">
        <v>600</v>
      </c>
      <c r="G434" s="5" t="str">
        <f t="shared" si="6"/>
        <v>49648227752</v>
      </c>
      <c r="H434" s="6">
        <v>4618</v>
      </c>
      <c r="I434" s="6">
        <v>0</v>
      </c>
      <c r="J434" s="7">
        <f t="shared" si="7"/>
        <v>4618</v>
      </c>
      <c r="K434" s="7">
        <f t="shared" si="8"/>
        <v>1385.3999999999999</v>
      </c>
      <c r="L434" s="7">
        <f t="shared" si="9"/>
        <v>1</v>
      </c>
      <c r="M434" s="7">
        <f>IFERROR(VLOOKUP(G434,'Base de faturamento'!A:C,2,FALSE),0)</f>
        <v>4618</v>
      </c>
      <c r="N434" s="8">
        <f>IFERROR(VLOOKUP(G434,'Base de faturamento'!A:C,3,FALSE),0)</f>
        <v>44719</v>
      </c>
      <c r="O434" s="8">
        <f t="shared" si="10"/>
        <v>44743</v>
      </c>
      <c r="P434" s="8">
        <f t="shared" si="11"/>
        <v>44743</v>
      </c>
    </row>
    <row r="435" spans="1:16" ht="15" x14ac:dyDescent="0.25">
      <c r="A435" s="2" t="s">
        <v>601</v>
      </c>
      <c r="B435" s="2" t="s">
        <v>33</v>
      </c>
      <c r="C435" s="3" t="str">
        <f>VLOOKUP(B435,Dados!$A$3:$B$10,2,FALSE)</f>
        <v>Time 1</v>
      </c>
      <c r="D435" s="2" t="s">
        <v>18</v>
      </c>
      <c r="E435" s="2" t="s">
        <v>25</v>
      </c>
      <c r="F435" s="4" t="s">
        <v>602</v>
      </c>
      <c r="G435" s="5" t="str">
        <f t="shared" si="6"/>
        <v>49711841918</v>
      </c>
      <c r="H435" s="6">
        <v>1877</v>
      </c>
      <c r="I435" s="6">
        <v>6988</v>
      </c>
      <c r="J435" s="7">
        <f t="shared" si="7"/>
        <v>0</v>
      </c>
      <c r="K435" s="7">
        <f t="shared" si="8"/>
        <v>0</v>
      </c>
      <c r="L435" s="7">
        <f t="shared" si="9"/>
        <v>1</v>
      </c>
      <c r="M435" s="7">
        <f>IFERROR(VLOOKUP(G435,'Base de faturamento'!A:C,2,FALSE),0)</f>
        <v>1877</v>
      </c>
      <c r="N435" s="8">
        <f>IFERROR(VLOOKUP(G435,'Base de faturamento'!A:C,3,FALSE),0)</f>
        <v>44712</v>
      </c>
      <c r="O435" s="8">
        <f t="shared" si="10"/>
        <v>44696</v>
      </c>
      <c r="P435" s="8">
        <f t="shared" si="11"/>
        <v>44713</v>
      </c>
    </row>
    <row r="436" spans="1:16" ht="15" x14ac:dyDescent="0.25">
      <c r="A436" s="2" t="s">
        <v>603</v>
      </c>
      <c r="B436" s="2" t="s">
        <v>27</v>
      </c>
      <c r="C436" s="3" t="str">
        <f>VLOOKUP(B436,Dados!$A$3:$B$10,2,FALSE)</f>
        <v>Time 2</v>
      </c>
      <c r="D436" s="2" t="s">
        <v>22</v>
      </c>
      <c r="E436" s="2" t="s">
        <v>25</v>
      </c>
      <c r="F436" s="4" t="s">
        <v>604</v>
      </c>
      <c r="G436" s="5" t="str">
        <f t="shared" si="6"/>
        <v>50101747376</v>
      </c>
      <c r="H436" s="6">
        <v>8719</v>
      </c>
      <c r="I436" s="6">
        <v>1131</v>
      </c>
      <c r="J436" s="7">
        <f t="shared" si="7"/>
        <v>7588</v>
      </c>
      <c r="K436" s="7">
        <f t="shared" si="8"/>
        <v>2276.4</v>
      </c>
      <c r="L436" s="7">
        <f t="shared" si="9"/>
        <v>1</v>
      </c>
      <c r="M436" s="7">
        <f>IFERROR(VLOOKUP(G436,'Base de faturamento'!A:C,2,FALSE),0)</f>
        <v>8719</v>
      </c>
      <c r="N436" s="8">
        <f>IFERROR(VLOOKUP(G436,'Base de faturamento'!A:C,3,FALSE),0)</f>
        <v>44693</v>
      </c>
      <c r="O436" s="8">
        <f t="shared" si="10"/>
        <v>44713</v>
      </c>
      <c r="P436" s="8">
        <f t="shared" si="11"/>
        <v>44713</v>
      </c>
    </row>
    <row r="437" spans="1:16" ht="15" x14ac:dyDescent="0.25">
      <c r="A437" s="2" t="s">
        <v>605</v>
      </c>
      <c r="B437" s="2" t="s">
        <v>33</v>
      </c>
      <c r="C437" s="3" t="str">
        <f>VLOOKUP(B437,Dados!$A$3:$B$10,2,FALSE)</f>
        <v>Time 1</v>
      </c>
      <c r="D437" s="2" t="s">
        <v>22</v>
      </c>
      <c r="E437" s="2" t="s">
        <v>19</v>
      </c>
      <c r="F437" s="4" t="s">
        <v>606</v>
      </c>
      <c r="G437" s="5" t="str">
        <f t="shared" si="6"/>
        <v>50698148459</v>
      </c>
      <c r="H437" s="6">
        <v>7833</v>
      </c>
      <c r="I437" s="6">
        <v>0</v>
      </c>
      <c r="J437" s="7">
        <f t="shared" si="7"/>
        <v>7833</v>
      </c>
      <c r="K437" s="7">
        <f t="shared" si="8"/>
        <v>2349.9</v>
      </c>
      <c r="L437" s="7">
        <f t="shared" si="9"/>
        <v>1</v>
      </c>
      <c r="M437" s="7">
        <f>IFERROR(VLOOKUP(G437,'Base de faturamento'!A:C,2,FALSE),0)</f>
        <v>7833</v>
      </c>
      <c r="N437" s="8">
        <f>IFERROR(VLOOKUP(G437,'Base de faturamento'!A:C,3,FALSE),0)</f>
        <v>44636</v>
      </c>
      <c r="O437" s="8">
        <f t="shared" si="10"/>
        <v>44635</v>
      </c>
      <c r="P437" s="8">
        <f t="shared" si="11"/>
        <v>44652</v>
      </c>
    </row>
    <row r="438" spans="1:16" ht="15" x14ac:dyDescent="0.25">
      <c r="A438" s="2" t="s">
        <v>607</v>
      </c>
      <c r="B438" s="2" t="s">
        <v>17</v>
      </c>
      <c r="C438" s="3" t="str">
        <f>VLOOKUP(B438,Dados!$A$3:$B$10,2,FALSE)</f>
        <v>Time 3</v>
      </c>
      <c r="D438" s="2" t="s">
        <v>18</v>
      </c>
      <c r="E438" s="2" t="s">
        <v>19</v>
      </c>
      <c r="F438" s="4" t="s">
        <v>608</v>
      </c>
      <c r="G438" s="5" t="str">
        <f t="shared" si="6"/>
        <v>51415654710</v>
      </c>
      <c r="H438" s="6">
        <v>7081</v>
      </c>
      <c r="I438" s="6">
        <v>0</v>
      </c>
      <c r="J438" s="7">
        <f t="shared" si="7"/>
        <v>7081</v>
      </c>
      <c r="K438" s="7">
        <f t="shared" si="8"/>
        <v>1416.2</v>
      </c>
      <c r="L438" s="7">
        <f t="shared" si="9"/>
        <v>1</v>
      </c>
      <c r="M438" s="7">
        <f>IFERROR(VLOOKUP(G438,'Base de faturamento'!A:C,2,FALSE),0)</f>
        <v>7081</v>
      </c>
      <c r="N438" s="8">
        <f>IFERROR(VLOOKUP(G438,'Base de faturamento'!A:C,3,FALSE),0)</f>
        <v>44628</v>
      </c>
      <c r="O438" s="8">
        <f t="shared" si="10"/>
        <v>44652</v>
      </c>
      <c r="P438" s="8">
        <f t="shared" si="11"/>
        <v>44652</v>
      </c>
    </row>
    <row r="439" spans="1:16" ht="15" x14ac:dyDescent="0.25">
      <c r="A439" s="2" t="s">
        <v>609</v>
      </c>
      <c r="B439" s="2" t="s">
        <v>17</v>
      </c>
      <c r="C439" s="3" t="str">
        <f>VLOOKUP(B439,Dados!$A$3:$B$10,2,FALSE)</f>
        <v>Time 3</v>
      </c>
      <c r="D439" s="2" t="s">
        <v>22</v>
      </c>
      <c r="E439" s="2" t="s">
        <v>25</v>
      </c>
      <c r="F439" s="4" t="s">
        <v>610</v>
      </c>
      <c r="G439" s="5" t="str">
        <f t="shared" si="6"/>
        <v>51634646266</v>
      </c>
      <c r="H439" s="6">
        <v>3974</v>
      </c>
      <c r="I439" s="6">
        <v>1826</v>
      </c>
      <c r="J439" s="7">
        <f t="shared" si="7"/>
        <v>2148</v>
      </c>
      <c r="K439" s="7">
        <f t="shared" si="8"/>
        <v>644.4</v>
      </c>
      <c r="L439" s="7">
        <f t="shared" si="9"/>
        <v>1</v>
      </c>
      <c r="M439" s="7">
        <f>IFERROR(VLOOKUP(G439,'Base de faturamento'!A:C,2,FALSE),0)</f>
        <v>3974</v>
      </c>
      <c r="N439" s="8">
        <f>IFERROR(VLOOKUP(G439,'Base de faturamento'!A:C,3,FALSE),0)</f>
        <v>44700</v>
      </c>
      <c r="O439" s="8">
        <f t="shared" si="10"/>
        <v>44713</v>
      </c>
      <c r="P439" s="8">
        <f t="shared" si="11"/>
        <v>44713</v>
      </c>
    </row>
    <row r="440" spans="1:16" ht="15" x14ac:dyDescent="0.25">
      <c r="A440" s="2" t="s">
        <v>611</v>
      </c>
      <c r="B440" s="2" t="s">
        <v>36</v>
      </c>
      <c r="C440" s="3" t="str">
        <f>VLOOKUP(B440,Dados!$A$3:$B$10,2,FALSE)</f>
        <v>Time 1</v>
      </c>
      <c r="D440" s="2" t="s">
        <v>18</v>
      </c>
      <c r="E440" s="2" t="s">
        <v>19</v>
      </c>
      <c r="F440" s="4" t="s">
        <v>612</v>
      </c>
      <c r="G440" s="5" t="str">
        <f t="shared" si="6"/>
        <v>51863681967</v>
      </c>
      <c r="H440" s="6">
        <v>7046</v>
      </c>
      <c r="I440" s="6">
        <v>0</v>
      </c>
      <c r="J440" s="7">
        <f t="shared" si="7"/>
        <v>7046</v>
      </c>
      <c r="K440" s="7">
        <f t="shared" si="8"/>
        <v>1409.2</v>
      </c>
      <c r="L440" s="7">
        <f t="shared" si="9"/>
        <v>1</v>
      </c>
      <c r="M440" s="7">
        <f>IFERROR(VLOOKUP(G440,'Base de faturamento'!A:C,2,FALSE),0)</f>
        <v>7046</v>
      </c>
      <c r="N440" s="8">
        <f>IFERROR(VLOOKUP(G440,'Base de faturamento'!A:C,3,FALSE),0)</f>
        <v>44654</v>
      </c>
      <c r="O440" s="8">
        <f t="shared" si="10"/>
        <v>44666</v>
      </c>
      <c r="P440" s="8">
        <f t="shared" si="11"/>
        <v>44682</v>
      </c>
    </row>
    <row r="441" spans="1:16" ht="15" x14ac:dyDescent="0.25">
      <c r="A441" s="2" t="s">
        <v>613</v>
      </c>
      <c r="B441" s="2" t="s">
        <v>33</v>
      </c>
      <c r="C441" s="3" t="str">
        <f>VLOOKUP(B441,Dados!$A$3:$B$10,2,FALSE)</f>
        <v>Time 1</v>
      </c>
      <c r="D441" s="2" t="s">
        <v>22</v>
      </c>
      <c r="E441" s="2" t="s">
        <v>25</v>
      </c>
      <c r="F441" s="4" t="s">
        <v>614</v>
      </c>
      <c r="G441" s="5" t="str">
        <f t="shared" si="6"/>
        <v>52013424044</v>
      </c>
      <c r="H441" s="6">
        <v>8092</v>
      </c>
      <c r="I441" s="6">
        <v>7930</v>
      </c>
      <c r="J441" s="7">
        <f t="shared" si="7"/>
        <v>162</v>
      </c>
      <c r="K441" s="7">
        <f t="shared" si="8"/>
        <v>48.6</v>
      </c>
      <c r="L441" s="7">
        <f t="shared" si="9"/>
        <v>1</v>
      </c>
      <c r="M441" s="7">
        <f>IFERROR(VLOOKUP(G441,'Base de faturamento'!A:C,2,FALSE),0)</f>
        <v>8092</v>
      </c>
      <c r="N441" s="8">
        <f>IFERROR(VLOOKUP(G441,'Base de faturamento'!A:C,3,FALSE),0)</f>
        <v>44734</v>
      </c>
      <c r="O441" s="8">
        <f t="shared" si="10"/>
        <v>44727</v>
      </c>
      <c r="P441" s="8">
        <f t="shared" si="11"/>
        <v>44743</v>
      </c>
    </row>
    <row r="442" spans="1:16" ht="15" x14ac:dyDescent="0.25">
      <c r="A442" s="2" t="s">
        <v>615</v>
      </c>
      <c r="B442" s="2" t="s">
        <v>29</v>
      </c>
      <c r="C442" s="3" t="str">
        <f>VLOOKUP(B442,Dados!$A$3:$B$10,2,FALSE)</f>
        <v>Time 2</v>
      </c>
      <c r="D442" s="2" t="s">
        <v>22</v>
      </c>
      <c r="E442" s="2" t="s">
        <v>19</v>
      </c>
      <c r="F442" s="4" t="s">
        <v>616</v>
      </c>
      <c r="G442" s="5" t="str">
        <f t="shared" si="6"/>
        <v>52098091206</v>
      </c>
      <c r="H442" s="6">
        <v>5539</v>
      </c>
      <c r="I442" s="6">
        <v>0</v>
      </c>
      <c r="J442" s="7">
        <f t="shared" si="7"/>
        <v>5539</v>
      </c>
      <c r="K442" s="7">
        <f t="shared" si="8"/>
        <v>1661.7</v>
      </c>
      <c r="L442" s="7">
        <f t="shared" si="9"/>
        <v>1</v>
      </c>
      <c r="M442" s="7">
        <f>IFERROR(VLOOKUP(G442,'Base de faturamento'!A:C,2,FALSE),0)</f>
        <v>5539</v>
      </c>
      <c r="N442" s="8">
        <f>IFERROR(VLOOKUP(G442,'Base de faturamento'!A:C,3,FALSE),0)</f>
        <v>44688</v>
      </c>
      <c r="O442" s="8">
        <f t="shared" si="10"/>
        <v>44713</v>
      </c>
      <c r="P442" s="8">
        <f t="shared" si="11"/>
        <v>44713</v>
      </c>
    </row>
    <row r="443" spans="1:16" ht="15" x14ac:dyDescent="0.25">
      <c r="A443" s="2" t="s">
        <v>617</v>
      </c>
      <c r="B443" s="2" t="s">
        <v>29</v>
      </c>
      <c r="C443" s="3" t="str">
        <f>VLOOKUP(B443,Dados!$A$3:$B$10,2,FALSE)</f>
        <v>Time 2</v>
      </c>
      <c r="D443" s="2" t="s">
        <v>18</v>
      </c>
      <c r="E443" s="2" t="s">
        <v>19</v>
      </c>
      <c r="F443" s="4" t="s">
        <v>618</v>
      </c>
      <c r="G443" s="5" t="str">
        <f t="shared" si="6"/>
        <v>52969393431</v>
      </c>
      <c r="H443" s="6">
        <v>4042</v>
      </c>
      <c r="I443" s="6">
        <v>0</v>
      </c>
      <c r="J443" s="7">
        <f t="shared" si="7"/>
        <v>4042</v>
      </c>
      <c r="K443" s="7">
        <f t="shared" si="8"/>
        <v>808.40000000000009</v>
      </c>
      <c r="L443" s="7">
        <f t="shared" si="9"/>
        <v>1</v>
      </c>
      <c r="M443" s="7">
        <f>IFERROR(VLOOKUP(G443,'Base de faturamento'!A:C,2,FALSE),0)</f>
        <v>4042</v>
      </c>
      <c r="N443" s="8">
        <f>IFERROR(VLOOKUP(G443,'Base de faturamento'!A:C,3,FALSE),0)</f>
        <v>44637</v>
      </c>
      <c r="O443" s="8">
        <f t="shared" si="10"/>
        <v>44652</v>
      </c>
      <c r="P443" s="8">
        <f t="shared" si="11"/>
        <v>44652</v>
      </c>
    </row>
    <row r="444" spans="1:16" ht="15" x14ac:dyDescent="0.25">
      <c r="A444" s="2" t="s">
        <v>619</v>
      </c>
      <c r="B444" s="2" t="s">
        <v>31</v>
      </c>
      <c r="C444" s="3" t="str">
        <f>VLOOKUP(B444,Dados!$A$3:$B$10,2,FALSE)</f>
        <v>Time 3</v>
      </c>
      <c r="D444" s="2" t="s">
        <v>18</v>
      </c>
      <c r="E444" s="2" t="s">
        <v>19</v>
      </c>
      <c r="F444" s="4" t="s">
        <v>620</v>
      </c>
      <c r="G444" s="5" t="str">
        <f t="shared" si="6"/>
        <v>53000044281</v>
      </c>
      <c r="H444" s="6">
        <v>7083</v>
      </c>
      <c r="I444" s="6">
        <v>0</v>
      </c>
      <c r="J444" s="7">
        <f t="shared" si="7"/>
        <v>7083</v>
      </c>
      <c r="K444" s="7">
        <f t="shared" si="8"/>
        <v>1416.6000000000001</v>
      </c>
      <c r="L444" s="7">
        <f t="shared" si="9"/>
        <v>1</v>
      </c>
      <c r="M444" s="7">
        <f>IFERROR(VLOOKUP(G444,'Base de faturamento'!A:C,2,FALSE),0)</f>
        <v>7083</v>
      </c>
      <c r="N444" s="8">
        <f>IFERROR(VLOOKUP(G444,'Base de faturamento'!A:C,3,FALSE),0)</f>
        <v>44645</v>
      </c>
      <c r="O444" s="8">
        <f t="shared" si="10"/>
        <v>44652</v>
      </c>
      <c r="P444" s="8">
        <f t="shared" si="11"/>
        <v>44652</v>
      </c>
    </row>
    <row r="445" spans="1:16" ht="15" x14ac:dyDescent="0.25">
      <c r="A445" s="2" t="s">
        <v>621</v>
      </c>
      <c r="B445" s="2" t="s">
        <v>17</v>
      </c>
      <c r="C445" s="3" t="str">
        <f>VLOOKUP(B445,Dados!$A$3:$B$10,2,FALSE)</f>
        <v>Time 3</v>
      </c>
      <c r="D445" s="2" t="s">
        <v>22</v>
      </c>
      <c r="E445" s="2" t="s">
        <v>25</v>
      </c>
      <c r="F445" s="4" t="s">
        <v>622</v>
      </c>
      <c r="G445" s="5" t="str">
        <f t="shared" si="6"/>
        <v>53157657524</v>
      </c>
      <c r="H445" s="6">
        <v>1899</v>
      </c>
      <c r="I445" s="6">
        <v>2987</v>
      </c>
      <c r="J445" s="7">
        <f t="shared" si="7"/>
        <v>0</v>
      </c>
      <c r="K445" s="7">
        <f t="shared" si="8"/>
        <v>0</v>
      </c>
      <c r="L445" s="7">
        <f t="shared" si="9"/>
        <v>1</v>
      </c>
      <c r="M445" s="7">
        <f>IFERROR(VLOOKUP(G445,'Base de faturamento'!A:C,2,FALSE),0)</f>
        <v>1899</v>
      </c>
      <c r="N445" s="8">
        <f>IFERROR(VLOOKUP(G445,'Base de faturamento'!A:C,3,FALSE),0)</f>
        <v>44630</v>
      </c>
      <c r="O445" s="8">
        <f t="shared" si="10"/>
        <v>44652</v>
      </c>
      <c r="P445" s="8">
        <f t="shared" si="11"/>
        <v>44652</v>
      </c>
    </row>
    <row r="446" spans="1:16" ht="15" x14ac:dyDescent="0.25">
      <c r="A446" s="2" t="s">
        <v>623</v>
      </c>
      <c r="B446" s="2" t="s">
        <v>36</v>
      </c>
      <c r="C446" s="3" t="str">
        <f>VLOOKUP(B446,Dados!$A$3:$B$10,2,FALSE)</f>
        <v>Time 1</v>
      </c>
      <c r="D446" s="2" t="s">
        <v>18</v>
      </c>
      <c r="E446" s="2" t="s">
        <v>19</v>
      </c>
      <c r="F446" s="4" t="s">
        <v>624</v>
      </c>
      <c r="G446" s="5" t="str">
        <f t="shared" si="6"/>
        <v>53233770082</v>
      </c>
      <c r="H446" s="6">
        <v>7130</v>
      </c>
      <c r="I446" s="6">
        <v>0</v>
      </c>
      <c r="J446" s="7">
        <f t="shared" si="7"/>
        <v>7130</v>
      </c>
      <c r="K446" s="7">
        <f t="shared" si="8"/>
        <v>1426</v>
      </c>
      <c r="L446" s="7">
        <f t="shared" si="9"/>
        <v>1</v>
      </c>
      <c r="M446" s="7">
        <f>IFERROR(VLOOKUP(G446,'Base de faturamento'!A:C,2,FALSE),0)</f>
        <v>7130</v>
      </c>
      <c r="N446" s="8">
        <f>IFERROR(VLOOKUP(G446,'Base de faturamento'!A:C,3,FALSE),0)</f>
        <v>44723</v>
      </c>
      <c r="O446" s="8">
        <f t="shared" si="10"/>
        <v>44727</v>
      </c>
      <c r="P446" s="8">
        <f t="shared" si="11"/>
        <v>44743</v>
      </c>
    </row>
    <row r="447" spans="1:16" ht="15" x14ac:dyDescent="0.25">
      <c r="A447" s="2" t="s">
        <v>625</v>
      </c>
      <c r="B447" s="2" t="s">
        <v>29</v>
      </c>
      <c r="C447" s="3" t="str">
        <f>VLOOKUP(B447,Dados!$A$3:$B$10,2,FALSE)</f>
        <v>Time 2</v>
      </c>
      <c r="D447" s="2" t="s">
        <v>18</v>
      </c>
      <c r="E447" s="2" t="s">
        <v>19</v>
      </c>
      <c r="F447" s="4" t="s">
        <v>626</v>
      </c>
      <c r="G447" s="5" t="str">
        <f t="shared" si="6"/>
        <v>53889360269</v>
      </c>
      <c r="H447" s="6">
        <v>3453</v>
      </c>
      <c r="I447" s="6">
        <v>0</v>
      </c>
      <c r="J447" s="7">
        <f t="shared" si="7"/>
        <v>3453</v>
      </c>
      <c r="K447" s="7">
        <f t="shared" si="8"/>
        <v>690.6</v>
      </c>
      <c r="L447" s="7">
        <f t="shared" si="9"/>
        <v>1</v>
      </c>
      <c r="M447" s="7">
        <f>IFERROR(VLOOKUP(G447,'Base de faturamento'!A:C,2,FALSE),0)</f>
        <v>3453</v>
      </c>
      <c r="N447" s="8">
        <f>IFERROR(VLOOKUP(G447,'Base de faturamento'!A:C,3,FALSE),0)</f>
        <v>44685</v>
      </c>
      <c r="O447" s="8">
        <f t="shared" si="10"/>
        <v>44713</v>
      </c>
      <c r="P447" s="8">
        <f t="shared" si="11"/>
        <v>44713</v>
      </c>
    </row>
    <row r="448" spans="1:16" ht="15" x14ac:dyDescent="0.25">
      <c r="A448" s="2" t="s">
        <v>627</v>
      </c>
      <c r="B448" s="2" t="s">
        <v>27</v>
      </c>
      <c r="C448" s="3" t="str">
        <f>VLOOKUP(B448,Dados!$A$3:$B$10,2,FALSE)</f>
        <v>Time 2</v>
      </c>
      <c r="D448" s="2" t="s">
        <v>22</v>
      </c>
      <c r="E448" s="2" t="s">
        <v>19</v>
      </c>
      <c r="F448" s="4" t="s">
        <v>628</v>
      </c>
      <c r="G448" s="5" t="str">
        <f t="shared" si="6"/>
        <v>53989755107</v>
      </c>
      <c r="H448" s="6">
        <v>1855</v>
      </c>
      <c r="I448" s="6">
        <v>0</v>
      </c>
      <c r="J448" s="7">
        <f t="shared" si="7"/>
        <v>1855</v>
      </c>
      <c r="K448" s="7">
        <f t="shared" si="8"/>
        <v>556.5</v>
      </c>
      <c r="L448" s="7">
        <f t="shared" si="9"/>
        <v>1</v>
      </c>
      <c r="M448" s="7">
        <f>IFERROR(VLOOKUP(G448,'Base de faturamento'!A:C,2,FALSE),0)</f>
        <v>1855</v>
      </c>
      <c r="N448" s="8">
        <f>IFERROR(VLOOKUP(G448,'Base de faturamento'!A:C,3,FALSE),0)</f>
        <v>44630</v>
      </c>
      <c r="O448" s="8">
        <f t="shared" si="10"/>
        <v>44652</v>
      </c>
      <c r="P448" s="8">
        <f t="shared" si="11"/>
        <v>44652</v>
      </c>
    </row>
    <row r="449" spans="1:16" ht="15" x14ac:dyDescent="0.25">
      <c r="A449" s="2" t="s">
        <v>629</v>
      </c>
      <c r="B449" s="2" t="s">
        <v>27</v>
      </c>
      <c r="C449" s="3" t="str">
        <f>VLOOKUP(B449,Dados!$A$3:$B$10,2,FALSE)</f>
        <v>Time 2</v>
      </c>
      <c r="D449" s="2" t="s">
        <v>18</v>
      </c>
      <c r="E449" s="2" t="s">
        <v>25</v>
      </c>
      <c r="F449" s="4" t="s">
        <v>630</v>
      </c>
      <c r="G449" s="5" t="str">
        <f t="shared" si="6"/>
        <v>54060067633</v>
      </c>
      <c r="H449" s="6">
        <v>8360</v>
      </c>
      <c r="I449" s="6">
        <v>3945</v>
      </c>
      <c r="J449" s="7">
        <f t="shared" si="7"/>
        <v>4415</v>
      </c>
      <c r="K449" s="7">
        <f t="shared" si="8"/>
        <v>883</v>
      </c>
      <c r="L449" s="7">
        <f t="shared" si="9"/>
        <v>1</v>
      </c>
      <c r="M449" s="7">
        <f>IFERROR(VLOOKUP(G449,'Base de faturamento'!A:C,2,FALSE),0)</f>
        <v>8360</v>
      </c>
      <c r="N449" s="8">
        <f>IFERROR(VLOOKUP(G449,'Base de faturamento'!A:C,3,FALSE),0)</f>
        <v>44650</v>
      </c>
      <c r="O449" s="8">
        <f t="shared" si="10"/>
        <v>44652</v>
      </c>
      <c r="P449" s="8">
        <f t="shared" si="11"/>
        <v>44652</v>
      </c>
    </row>
    <row r="450" spans="1:16" ht="15" x14ac:dyDescent="0.25">
      <c r="A450" s="2" t="s">
        <v>631</v>
      </c>
      <c r="B450" s="2" t="s">
        <v>27</v>
      </c>
      <c r="C450" s="3" t="str">
        <f>VLOOKUP(B450,Dados!$A$3:$B$10,2,FALSE)</f>
        <v>Time 2</v>
      </c>
      <c r="D450" s="2" t="s">
        <v>22</v>
      </c>
      <c r="E450" s="2" t="s">
        <v>19</v>
      </c>
      <c r="F450" s="4" t="s">
        <v>632</v>
      </c>
      <c r="G450" s="5" t="str">
        <f t="shared" si="6"/>
        <v>54136290811</v>
      </c>
      <c r="H450" s="6">
        <v>8054</v>
      </c>
      <c r="I450" s="6">
        <v>0</v>
      </c>
      <c r="J450" s="7">
        <f t="shared" si="7"/>
        <v>8054</v>
      </c>
      <c r="K450" s="7">
        <f t="shared" si="8"/>
        <v>2416.1999999999998</v>
      </c>
      <c r="L450" s="7">
        <f t="shared" si="9"/>
        <v>1</v>
      </c>
      <c r="M450" s="7">
        <f>IFERROR(VLOOKUP(G450,'Base de faturamento'!A:C,2,FALSE),0)</f>
        <v>8054</v>
      </c>
      <c r="N450" s="8">
        <f>IFERROR(VLOOKUP(G450,'Base de faturamento'!A:C,3,FALSE),0)</f>
        <v>44712</v>
      </c>
      <c r="O450" s="8">
        <f t="shared" si="10"/>
        <v>44713</v>
      </c>
      <c r="P450" s="8">
        <f t="shared" si="11"/>
        <v>44713</v>
      </c>
    </row>
    <row r="451" spans="1:16" ht="15" x14ac:dyDescent="0.25">
      <c r="A451" s="2" t="s">
        <v>633</v>
      </c>
      <c r="B451" s="2" t="s">
        <v>27</v>
      </c>
      <c r="C451" s="3" t="str">
        <f>VLOOKUP(B451,Dados!$A$3:$B$10,2,FALSE)</f>
        <v>Time 2</v>
      </c>
      <c r="D451" s="2" t="s">
        <v>22</v>
      </c>
      <c r="E451" s="2" t="s">
        <v>19</v>
      </c>
      <c r="F451" s="4" t="s">
        <v>634</v>
      </c>
      <c r="G451" s="5" t="str">
        <f t="shared" si="6"/>
        <v>54415265992</v>
      </c>
      <c r="H451" s="6">
        <v>7702</v>
      </c>
      <c r="I451" s="6">
        <v>0</v>
      </c>
      <c r="J451" s="7">
        <f t="shared" si="7"/>
        <v>7702</v>
      </c>
      <c r="K451" s="7">
        <f t="shared" si="8"/>
        <v>2310.6</v>
      </c>
      <c r="L451" s="7">
        <f t="shared" si="9"/>
        <v>1</v>
      </c>
      <c r="M451" s="7">
        <f>IFERROR(VLOOKUP(G451,'Base de faturamento'!A:C,2,FALSE),0)</f>
        <v>7702</v>
      </c>
      <c r="N451" s="8">
        <f>IFERROR(VLOOKUP(G451,'Base de faturamento'!A:C,3,FALSE),0)</f>
        <v>44653</v>
      </c>
      <c r="O451" s="8">
        <f t="shared" si="10"/>
        <v>44682</v>
      </c>
      <c r="P451" s="8">
        <f t="shared" si="11"/>
        <v>44682</v>
      </c>
    </row>
    <row r="452" spans="1:16" ht="15" x14ac:dyDescent="0.25">
      <c r="A452" s="2" t="s">
        <v>635</v>
      </c>
      <c r="B452" s="2" t="s">
        <v>31</v>
      </c>
      <c r="C452" s="3" t="str">
        <f>VLOOKUP(B452,Dados!$A$3:$B$10,2,FALSE)</f>
        <v>Time 3</v>
      </c>
      <c r="D452" s="2" t="s">
        <v>18</v>
      </c>
      <c r="E452" s="2" t="s">
        <v>19</v>
      </c>
      <c r="F452" s="4" t="s">
        <v>636</v>
      </c>
      <c r="G452" s="5" t="str">
        <f t="shared" si="6"/>
        <v>54492575676</v>
      </c>
      <c r="H452" s="6">
        <v>2498</v>
      </c>
      <c r="I452" s="6">
        <v>0</v>
      </c>
      <c r="J452" s="7">
        <f t="shared" si="7"/>
        <v>2498</v>
      </c>
      <c r="K452" s="7">
        <f t="shared" si="8"/>
        <v>499.6</v>
      </c>
      <c r="L452" s="7">
        <f t="shared" si="9"/>
        <v>1</v>
      </c>
      <c r="M452" s="7">
        <f>IFERROR(VLOOKUP(G452,'Base de faturamento'!A:C,2,FALSE),0)</f>
        <v>2498</v>
      </c>
      <c r="N452" s="8">
        <f>IFERROR(VLOOKUP(G452,'Base de faturamento'!A:C,3,FALSE),0)</f>
        <v>44669</v>
      </c>
      <c r="O452" s="8">
        <f t="shared" si="10"/>
        <v>44682</v>
      </c>
      <c r="P452" s="8">
        <f t="shared" si="11"/>
        <v>44682</v>
      </c>
    </row>
    <row r="453" spans="1:16" ht="15" x14ac:dyDescent="0.25">
      <c r="A453" s="2" t="s">
        <v>637</v>
      </c>
      <c r="B453" s="2" t="s">
        <v>17</v>
      </c>
      <c r="C453" s="3" t="str">
        <f>VLOOKUP(B453,Dados!$A$3:$B$10,2,FALSE)</f>
        <v>Time 3</v>
      </c>
      <c r="D453" s="2" t="s">
        <v>18</v>
      </c>
      <c r="E453" s="2" t="s">
        <v>25</v>
      </c>
      <c r="F453" s="4" t="s">
        <v>638</v>
      </c>
      <c r="G453" s="5" t="str">
        <f t="shared" si="6"/>
        <v>54873804216</v>
      </c>
      <c r="H453" s="6">
        <v>5200</v>
      </c>
      <c r="I453" s="6">
        <v>1014</v>
      </c>
      <c r="J453" s="7">
        <f t="shared" si="7"/>
        <v>4186</v>
      </c>
      <c r="K453" s="7">
        <f t="shared" si="8"/>
        <v>837.2</v>
      </c>
      <c r="L453" s="7">
        <f t="shared" si="9"/>
        <v>1</v>
      </c>
      <c r="M453" s="7">
        <f>IFERROR(VLOOKUP(G453,'Base de faturamento'!A:C,2,FALSE),0)</f>
        <v>5200</v>
      </c>
      <c r="N453" s="8">
        <f>IFERROR(VLOOKUP(G453,'Base de faturamento'!A:C,3,FALSE),0)</f>
        <v>44635</v>
      </c>
      <c r="O453" s="8">
        <f t="shared" si="10"/>
        <v>44652</v>
      </c>
      <c r="P453" s="8">
        <f t="shared" si="11"/>
        <v>44652</v>
      </c>
    </row>
    <row r="454" spans="1:16" ht="15" x14ac:dyDescent="0.25">
      <c r="A454" s="2" t="s">
        <v>639</v>
      </c>
      <c r="B454" s="2" t="s">
        <v>21</v>
      </c>
      <c r="C454" s="3" t="str">
        <f>VLOOKUP(B454,Dados!$A$3:$B$10,2,FALSE)</f>
        <v>Time 1</v>
      </c>
      <c r="D454" s="2" t="s">
        <v>22</v>
      </c>
      <c r="E454" s="2" t="s">
        <v>19</v>
      </c>
      <c r="F454" s="4" t="s">
        <v>640</v>
      </c>
      <c r="G454" s="5" t="str">
        <f t="shared" si="6"/>
        <v>55320855128</v>
      </c>
      <c r="H454" s="6">
        <v>5145</v>
      </c>
      <c r="I454" s="6">
        <v>0</v>
      </c>
      <c r="J454" s="7">
        <f t="shared" si="7"/>
        <v>5145</v>
      </c>
      <c r="K454" s="7">
        <f t="shared" si="8"/>
        <v>1543.5</v>
      </c>
      <c r="L454" s="7">
        <f t="shared" si="9"/>
        <v>1</v>
      </c>
      <c r="M454" s="7">
        <f>IFERROR(VLOOKUP(G454,'Base de faturamento'!A:C,2,FALSE),0)</f>
        <v>5145</v>
      </c>
      <c r="N454" s="8">
        <f>IFERROR(VLOOKUP(G454,'Base de faturamento'!A:C,3,FALSE),0)</f>
        <v>44713</v>
      </c>
      <c r="O454" s="8">
        <f t="shared" si="10"/>
        <v>44727</v>
      </c>
      <c r="P454" s="8">
        <f t="shared" si="11"/>
        <v>44743</v>
      </c>
    </row>
    <row r="455" spans="1:16" ht="15" x14ac:dyDescent="0.25">
      <c r="A455" s="2" t="s">
        <v>641</v>
      </c>
      <c r="B455" s="2" t="s">
        <v>27</v>
      </c>
      <c r="C455" s="3" t="str">
        <f>VLOOKUP(B455,Dados!$A$3:$B$10,2,FALSE)</f>
        <v>Time 2</v>
      </c>
      <c r="D455" s="2" t="s">
        <v>22</v>
      </c>
      <c r="E455" s="2" t="s">
        <v>25</v>
      </c>
      <c r="F455" s="4" t="s">
        <v>642</v>
      </c>
      <c r="G455" s="5" t="str">
        <f t="shared" si="6"/>
        <v>55701906822</v>
      </c>
      <c r="H455" s="6">
        <v>6925</v>
      </c>
      <c r="I455" s="6">
        <v>5859</v>
      </c>
      <c r="J455" s="7">
        <f t="shared" si="7"/>
        <v>1066</v>
      </c>
      <c r="K455" s="7">
        <f t="shared" si="8"/>
        <v>319.8</v>
      </c>
      <c r="L455" s="7">
        <f t="shared" si="9"/>
        <v>1</v>
      </c>
      <c r="M455" s="7">
        <f>IFERROR(VLOOKUP(G455,'Base de faturamento'!A:C,2,FALSE),0)</f>
        <v>6925</v>
      </c>
      <c r="N455" s="8">
        <f>IFERROR(VLOOKUP(G455,'Base de faturamento'!A:C,3,FALSE),0)</f>
        <v>44639</v>
      </c>
      <c r="O455" s="8">
        <f t="shared" si="10"/>
        <v>44652</v>
      </c>
      <c r="P455" s="8">
        <f t="shared" si="11"/>
        <v>44652</v>
      </c>
    </row>
    <row r="456" spans="1:16" ht="15" x14ac:dyDescent="0.25">
      <c r="A456" s="2" t="s">
        <v>643</v>
      </c>
      <c r="B456" s="2" t="s">
        <v>33</v>
      </c>
      <c r="C456" s="3" t="str">
        <f>VLOOKUP(B456,Dados!$A$3:$B$10,2,FALSE)</f>
        <v>Time 1</v>
      </c>
      <c r="D456" s="2" t="s">
        <v>22</v>
      </c>
      <c r="E456" s="2" t="s">
        <v>19</v>
      </c>
      <c r="F456" s="4" t="s">
        <v>644</v>
      </c>
      <c r="G456" s="5" t="str">
        <f t="shared" si="6"/>
        <v>55792488431</v>
      </c>
      <c r="H456" s="6">
        <v>5320</v>
      </c>
      <c r="I456" s="6">
        <v>0</v>
      </c>
      <c r="J456" s="7">
        <f t="shared" si="7"/>
        <v>5320</v>
      </c>
      <c r="K456" s="7">
        <f t="shared" si="8"/>
        <v>1596</v>
      </c>
      <c r="L456" s="7">
        <f t="shared" si="9"/>
        <v>1</v>
      </c>
      <c r="M456" s="7">
        <f>IFERROR(VLOOKUP(G456,'Base de faturamento'!A:C,2,FALSE),0)</f>
        <v>5320</v>
      </c>
      <c r="N456" s="8">
        <f>IFERROR(VLOOKUP(G456,'Base de faturamento'!A:C,3,FALSE),0)</f>
        <v>44682</v>
      </c>
      <c r="O456" s="8">
        <f t="shared" si="10"/>
        <v>44696</v>
      </c>
      <c r="P456" s="8">
        <f t="shared" si="11"/>
        <v>44713</v>
      </c>
    </row>
    <row r="457" spans="1:16" ht="15" x14ac:dyDescent="0.25">
      <c r="A457" s="2" t="s">
        <v>645</v>
      </c>
      <c r="B457" s="2" t="s">
        <v>27</v>
      </c>
      <c r="C457" s="3" t="str">
        <f>VLOOKUP(B457,Dados!$A$3:$B$10,2,FALSE)</f>
        <v>Time 2</v>
      </c>
      <c r="D457" s="2" t="s">
        <v>22</v>
      </c>
      <c r="E457" s="2" t="s">
        <v>25</v>
      </c>
      <c r="F457" s="4" t="s">
        <v>646</v>
      </c>
      <c r="G457" s="5" t="str">
        <f t="shared" si="6"/>
        <v>56539905534</v>
      </c>
      <c r="H457" s="6">
        <v>8659</v>
      </c>
      <c r="I457" s="6">
        <v>6044</v>
      </c>
      <c r="J457" s="7">
        <f t="shared" si="7"/>
        <v>2615</v>
      </c>
      <c r="K457" s="7">
        <f t="shared" si="8"/>
        <v>784.5</v>
      </c>
      <c r="L457" s="7">
        <f t="shared" si="9"/>
        <v>1</v>
      </c>
      <c r="M457" s="7">
        <f>IFERROR(VLOOKUP(G457,'Base de faturamento'!A:C,2,FALSE),0)</f>
        <v>8659</v>
      </c>
      <c r="N457" s="8">
        <f>IFERROR(VLOOKUP(G457,'Base de faturamento'!A:C,3,FALSE),0)</f>
        <v>44696</v>
      </c>
      <c r="O457" s="8">
        <f t="shared" si="10"/>
        <v>44713</v>
      </c>
      <c r="P457" s="8">
        <f t="shared" si="11"/>
        <v>44713</v>
      </c>
    </row>
    <row r="458" spans="1:16" ht="15" x14ac:dyDescent="0.25">
      <c r="A458" s="2" t="s">
        <v>647</v>
      </c>
      <c r="B458" s="2" t="s">
        <v>31</v>
      </c>
      <c r="C458" s="3" t="str">
        <f>VLOOKUP(B458,Dados!$A$3:$B$10,2,FALSE)</f>
        <v>Time 3</v>
      </c>
      <c r="D458" s="2" t="s">
        <v>18</v>
      </c>
      <c r="E458" s="2" t="s">
        <v>25</v>
      </c>
      <c r="F458" s="4" t="s">
        <v>648</v>
      </c>
      <c r="G458" s="5" t="str">
        <f t="shared" si="6"/>
        <v>57552458833</v>
      </c>
      <c r="H458" s="6">
        <v>6150</v>
      </c>
      <c r="I458" s="6">
        <v>9327</v>
      </c>
      <c r="J458" s="7">
        <f t="shared" si="7"/>
        <v>0</v>
      </c>
      <c r="K458" s="7">
        <f t="shared" si="8"/>
        <v>0</v>
      </c>
      <c r="L458" s="7">
        <f t="shared" si="9"/>
        <v>1</v>
      </c>
      <c r="M458" s="7">
        <f>IFERROR(VLOOKUP(G458,'Base de faturamento'!A:C,2,FALSE),0)</f>
        <v>6150</v>
      </c>
      <c r="N458" s="8">
        <f>IFERROR(VLOOKUP(G458,'Base de faturamento'!A:C,3,FALSE),0)</f>
        <v>44624</v>
      </c>
      <c r="O458" s="8">
        <f t="shared" si="10"/>
        <v>44652</v>
      </c>
      <c r="P458" s="8">
        <f t="shared" si="11"/>
        <v>44652</v>
      </c>
    </row>
    <row r="459" spans="1:16" ht="15" x14ac:dyDescent="0.25">
      <c r="A459" s="2" t="s">
        <v>649</v>
      </c>
      <c r="B459" s="2" t="s">
        <v>17</v>
      </c>
      <c r="C459" s="3" t="str">
        <f>VLOOKUP(B459,Dados!$A$3:$B$10,2,FALSE)</f>
        <v>Time 3</v>
      </c>
      <c r="D459" s="2" t="s">
        <v>18</v>
      </c>
      <c r="E459" s="2" t="s">
        <v>25</v>
      </c>
      <c r="F459" s="4" t="s">
        <v>650</v>
      </c>
      <c r="G459" s="5" t="str">
        <f t="shared" si="6"/>
        <v>58148999167</v>
      </c>
      <c r="H459" s="6">
        <v>5933</v>
      </c>
      <c r="I459" s="6">
        <v>3439</v>
      </c>
      <c r="J459" s="7">
        <f t="shared" si="7"/>
        <v>2494</v>
      </c>
      <c r="K459" s="7">
        <f t="shared" si="8"/>
        <v>498.8</v>
      </c>
      <c r="L459" s="7">
        <f t="shared" si="9"/>
        <v>1</v>
      </c>
      <c r="M459" s="7">
        <f>IFERROR(VLOOKUP(G459,'Base de faturamento'!A:C,2,FALSE),0)</f>
        <v>5933</v>
      </c>
      <c r="N459" s="8">
        <f>IFERROR(VLOOKUP(G459,'Base de faturamento'!A:C,3,FALSE),0)</f>
        <v>44624</v>
      </c>
      <c r="O459" s="8">
        <f t="shared" si="10"/>
        <v>44652</v>
      </c>
      <c r="P459" s="8">
        <f t="shared" si="11"/>
        <v>44652</v>
      </c>
    </row>
    <row r="460" spans="1:16" ht="15" x14ac:dyDescent="0.25">
      <c r="A460" s="2" t="s">
        <v>651</v>
      </c>
      <c r="B460" s="2" t="s">
        <v>27</v>
      </c>
      <c r="C460" s="3" t="str">
        <f>VLOOKUP(B460,Dados!$A$3:$B$10,2,FALSE)</f>
        <v>Time 2</v>
      </c>
      <c r="D460" s="2" t="s">
        <v>18</v>
      </c>
      <c r="E460" s="2" t="s">
        <v>19</v>
      </c>
      <c r="F460" s="4" t="s">
        <v>652</v>
      </c>
      <c r="G460" s="5" t="str">
        <f t="shared" si="6"/>
        <v>58249514967</v>
      </c>
      <c r="H460" s="6">
        <v>3145</v>
      </c>
      <c r="I460" s="6">
        <v>0</v>
      </c>
      <c r="J460" s="7">
        <f t="shared" si="7"/>
        <v>3145</v>
      </c>
      <c r="K460" s="7">
        <f t="shared" si="8"/>
        <v>629</v>
      </c>
      <c r="L460" s="7">
        <f t="shared" si="9"/>
        <v>1</v>
      </c>
      <c r="M460" s="7">
        <f>IFERROR(VLOOKUP(G460,'Base de faturamento'!A:C,2,FALSE),0)</f>
        <v>3145</v>
      </c>
      <c r="N460" s="8">
        <f>IFERROR(VLOOKUP(G460,'Base de faturamento'!A:C,3,FALSE),0)</f>
        <v>44686</v>
      </c>
      <c r="O460" s="8">
        <f t="shared" si="10"/>
        <v>44713</v>
      </c>
      <c r="P460" s="8">
        <f t="shared" si="11"/>
        <v>44713</v>
      </c>
    </row>
    <row r="461" spans="1:16" ht="15" x14ac:dyDescent="0.25">
      <c r="A461" s="2" t="s">
        <v>653</v>
      </c>
      <c r="B461" s="2" t="s">
        <v>24</v>
      </c>
      <c r="C461" s="3" t="str">
        <f>VLOOKUP(B461,Dados!$A$3:$B$10,2,FALSE)</f>
        <v>Time 2</v>
      </c>
      <c r="D461" s="2" t="s">
        <v>18</v>
      </c>
      <c r="E461" s="2" t="s">
        <v>25</v>
      </c>
      <c r="F461" s="4" t="s">
        <v>654</v>
      </c>
      <c r="G461" s="5" t="str">
        <f t="shared" si="6"/>
        <v>58270861088</v>
      </c>
      <c r="H461" s="6">
        <v>9871</v>
      </c>
      <c r="I461" s="6">
        <v>7828</v>
      </c>
      <c r="J461" s="7">
        <f t="shared" si="7"/>
        <v>2043</v>
      </c>
      <c r="K461" s="7">
        <f t="shared" si="8"/>
        <v>408.6</v>
      </c>
      <c r="L461" s="7">
        <f t="shared" si="9"/>
        <v>1</v>
      </c>
      <c r="M461" s="7">
        <f>IFERROR(VLOOKUP(G461,'Base de faturamento'!A:C,2,FALSE),0)</f>
        <v>9871</v>
      </c>
      <c r="N461" s="8">
        <f>IFERROR(VLOOKUP(G461,'Base de faturamento'!A:C,3,FALSE),0)</f>
        <v>44731</v>
      </c>
      <c r="O461" s="8">
        <f t="shared" si="10"/>
        <v>44743</v>
      </c>
      <c r="P461" s="8">
        <f t="shared" si="11"/>
        <v>44743</v>
      </c>
    </row>
    <row r="462" spans="1:16" ht="15" x14ac:dyDescent="0.25">
      <c r="A462" s="2" t="s">
        <v>655</v>
      </c>
      <c r="B462" s="2" t="s">
        <v>36</v>
      </c>
      <c r="C462" s="3" t="str">
        <f>VLOOKUP(B462,Dados!$A$3:$B$10,2,FALSE)</f>
        <v>Time 1</v>
      </c>
      <c r="D462" s="2" t="s">
        <v>18</v>
      </c>
      <c r="E462" s="2" t="s">
        <v>19</v>
      </c>
      <c r="F462" s="4" t="s">
        <v>656</v>
      </c>
      <c r="G462" s="5" t="str">
        <f t="shared" si="6"/>
        <v>58740957591</v>
      </c>
      <c r="H462" s="6">
        <v>2661</v>
      </c>
      <c r="I462" s="6">
        <v>0</v>
      </c>
      <c r="J462" s="7">
        <f t="shared" si="7"/>
        <v>2661</v>
      </c>
      <c r="K462" s="7">
        <f t="shared" si="8"/>
        <v>532.20000000000005</v>
      </c>
      <c r="L462" s="7">
        <f t="shared" si="9"/>
        <v>1</v>
      </c>
      <c r="M462" s="7">
        <f>IFERROR(VLOOKUP(G462,'Base de faturamento'!A:C,2,FALSE),0)</f>
        <v>2661</v>
      </c>
      <c r="N462" s="8">
        <f>IFERROR(VLOOKUP(G462,'Base de faturamento'!A:C,3,FALSE),0)</f>
        <v>44648</v>
      </c>
      <c r="O462" s="8">
        <f t="shared" si="10"/>
        <v>44635</v>
      </c>
      <c r="P462" s="8">
        <f t="shared" si="11"/>
        <v>44652</v>
      </c>
    </row>
    <row r="463" spans="1:16" ht="15" x14ac:dyDescent="0.25">
      <c r="A463" s="2" t="s">
        <v>657</v>
      </c>
      <c r="B463" s="2" t="s">
        <v>36</v>
      </c>
      <c r="C463" s="3" t="str">
        <f>VLOOKUP(B463,Dados!$A$3:$B$10,2,FALSE)</f>
        <v>Time 1</v>
      </c>
      <c r="D463" s="2" t="s">
        <v>22</v>
      </c>
      <c r="E463" s="2" t="s">
        <v>19</v>
      </c>
      <c r="F463" s="4" t="s">
        <v>658</v>
      </c>
      <c r="G463" s="5" t="str">
        <f t="shared" si="6"/>
        <v>59280635017</v>
      </c>
      <c r="H463" s="6">
        <v>2657</v>
      </c>
      <c r="I463" s="6">
        <v>0</v>
      </c>
      <c r="J463" s="7">
        <f t="shared" si="7"/>
        <v>2657</v>
      </c>
      <c r="K463" s="7">
        <f t="shared" si="8"/>
        <v>797.1</v>
      </c>
      <c r="L463" s="7">
        <f t="shared" si="9"/>
        <v>1</v>
      </c>
      <c r="M463" s="7">
        <f>IFERROR(VLOOKUP(G463,'Base de faturamento'!A:C,2,FALSE),0)</f>
        <v>2657</v>
      </c>
      <c r="N463" s="8">
        <f>IFERROR(VLOOKUP(G463,'Base de faturamento'!A:C,3,FALSE),0)</f>
        <v>44687</v>
      </c>
      <c r="O463" s="8">
        <f t="shared" si="10"/>
        <v>44696</v>
      </c>
      <c r="P463" s="8">
        <f t="shared" si="11"/>
        <v>44713</v>
      </c>
    </row>
    <row r="464" spans="1:16" ht="15" x14ac:dyDescent="0.25">
      <c r="A464" s="2" t="s">
        <v>659</v>
      </c>
      <c r="B464" s="2" t="s">
        <v>17</v>
      </c>
      <c r="C464" s="3" t="str">
        <f>VLOOKUP(B464,Dados!$A$3:$B$10,2,FALSE)</f>
        <v>Time 3</v>
      </c>
      <c r="D464" s="2" t="s">
        <v>22</v>
      </c>
      <c r="E464" s="2" t="s">
        <v>25</v>
      </c>
      <c r="F464" s="4" t="s">
        <v>660</v>
      </c>
      <c r="G464" s="5" t="str">
        <f t="shared" si="6"/>
        <v>59324393116</v>
      </c>
      <c r="H464" s="6">
        <v>1040</v>
      </c>
      <c r="I464" s="6">
        <v>6374</v>
      </c>
      <c r="J464" s="7">
        <f t="shared" si="7"/>
        <v>0</v>
      </c>
      <c r="K464" s="7">
        <f t="shared" si="8"/>
        <v>0</v>
      </c>
      <c r="L464" s="7">
        <f t="shared" si="9"/>
        <v>1</v>
      </c>
      <c r="M464" s="7">
        <f>IFERROR(VLOOKUP(G464,'Base de faturamento'!A:C,2,FALSE),0)</f>
        <v>1040</v>
      </c>
      <c r="N464" s="8">
        <f>IFERROR(VLOOKUP(G464,'Base de faturamento'!A:C,3,FALSE),0)</f>
        <v>44709</v>
      </c>
      <c r="O464" s="8">
        <f t="shared" si="10"/>
        <v>44713</v>
      </c>
      <c r="P464" s="8">
        <f t="shared" si="11"/>
        <v>44713</v>
      </c>
    </row>
    <row r="465" spans="1:16" ht="15" x14ac:dyDescent="0.25">
      <c r="A465" s="2" t="s">
        <v>661</v>
      </c>
      <c r="B465" s="2" t="s">
        <v>33</v>
      </c>
      <c r="C465" s="3" t="str">
        <f>VLOOKUP(B465,Dados!$A$3:$B$10,2,FALSE)</f>
        <v>Time 1</v>
      </c>
      <c r="D465" s="2" t="s">
        <v>18</v>
      </c>
      <c r="E465" s="2" t="s">
        <v>25</v>
      </c>
      <c r="F465" s="4" t="s">
        <v>662</v>
      </c>
      <c r="G465" s="5" t="str">
        <f t="shared" si="6"/>
        <v>59462534658</v>
      </c>
      <c r="H465" s="6">
        <v>9269</v>
      </c>
      <c r="I465" s="6">
        <v>1360</v>
      </c>
      <c r="J465" s="7">
        <f t="shared" si="7"/>
        <v>7909</v>
      </c>
      <c r="K465" s="7">
        <f t="shared" si="8"/>
        <v>1581.8000000000002</v>
      </c>
      <c r="L465" s="7">
        <f t="shared" si="9"/>
        <v>1</v>
      </c>
      <c r="M465" s="7">
        <f>IFERROR(VLOOKUP(G465,'Base de faturamento'!A:C,2,FALSE),0)</f>
        <v>9269</v>
      </c>
      <c r="N465" s="8">
        <f>IFERROR(VLOOKUP(G465,'Base de faturamento'!A:C,3,FALSE),0)</f>
        <v>44716</v>
      </c>
      <c r="O465" s="8">
        <f t="shared" si="10"/>
        <v>44727</v>
      </c>
      <c r="P465" s="8">
        <f t="shared" si="11"/>
        <v>44743</v>
      </c>
    </row>
    <row r="466" spans="1:16" ht="15" x14ac:dyDescent="0.25">
      <c r="A466" s="2" t="s">
        <v>663</v>
      </c>
      <c r="B466" s="2" t="s">
        <v>29</v>
      </c>
      <c r="C466" s="3" t="str">
        <f>VLOOKUP(B466,Dados!$A$3:$B$10,2,FALSE)</f>
        <v>Time 2</v>
      </c>
      <c r="D466" s="2" t="s">
        <v>22</v>
      </c>
      <c r="E466" s="2" t="s">
        <v>25</v>
      </c>
      <c r="F466" s="4" t="s">
        <v>664</v>
      </c>
      <c r="G466" s="5" t="str">
        <f t="shared" si="6"/>
        <v>59673328983</v>
      </c>
      <c r="H466" s="6">
        <v>1138</v>
      </c>
      <c r="I466" s="6">
        <v>1579</v>
      </c>
      <c r="J466" s="7">
        <f t="shared" si="7"/>
        <v>0</v>
      </c>
      <c r="K466" s="7">
        <f t="shared" si="8"/>
        <v>0</v>
      </c>
      <c r="L466" s="7">
        <f t="shared" si="9"/>
        <v>0</v>
      </c>
      <c r="M466" s="7">
        <f>IFERROR(VLOOKUP(G466,'Base de faturamento'!A:C,2,FALSE),0)</f>
        <v>0</v>
      </c>
      <c r="N466" s="8">
        <f>IFERROR(VLOOKUP(G466,'Base de faturamento'!A:C,3,FALSE),0)</f>
        <v>0</v>
      </c>
      <c r="O466" s="8">
        <f t="shared" si="10"/>
        <v>32</v>
      </c>
      <c r="P466" s="9" t="b">
        <f t="shared" si="11"/>
        <v>0</v>
      </c>
    </row>
    <row r="467" spans="1:16" ht="15" x14ac:dyDescent="0.25">
      <c r="A467" s="2" t="s">
        <v>665</v>
      </c>
      <c r="B467" s="2" t="s">
        <v>36</v>
      </c>
      <c r="C467" s="3" t="str">
        <f>VLOOKUP(B467,Dados!$A$3:$B$10,2,FALSE)</f>
        <v>Time 1</v>
      </c>
      <c r="D467" s="2" t="s">
        <v>22</v>
      </c>
      <c r="E467" s="2" t="s">
        <v>19</v>
      </c>
      <c r="F467" s="4" t="s">
        <v>666</v>
      </c>
      <c r="G467" s="5" t="str">
        <f t="shared" si="6"/>
        <v>60021463733</v>
      </c>
      <c r="H467" s="6">
        <v>7477</v>
      </c>
      <c r="I467" s="6">
        <v>0</v>
      </c>
      <c r="J467" s="7">
        <f t="shared" si="7"/>
        <v>7477</v>
      </c>
      <c r="K467" s="7">
        <f t="shared" si="8"/>
        <v>2243.1</v>
      </c>
      <c r="L467" s="7">
        <f t="shared" si="9"/>
        <v>1</v>
      </c>
      <c r="M467" s="7">
        <f>IFERROR(VLOOKUP(G467,'Base de faturamento'!A:C,2,FALSE),0)</f>
        <v>7477</v>
      </c>
      <c r="N467" s="8">
        <f>IFERROR(VLOOKUP(G467,'Base de faturamento'!A:C,3,FALSE),0)</f>
        <v>44626</v>
      </c>
      <c r="O467" s="8">
        <f t="shared" si="10"/>
        <v>44635</v>
      </c>
      <c r="P467" s="8">
        <f t="shared" si="11"/>
        <v>44652</v>
      </c>
    </row>
    <row r="468" spans="1:16" ht="15" x14ac:dyDescent="0.25">
      <c r="A468" s="2" t="s">
        <v>667</v>
      </c>
      <c r="B468" s="2" t="s">
        <v>29</v>
      </c>
      <c r="C468" s="3" t="str">
        <f>VLOOKUP(B468,Dados!$A$3:$B$10,2,FALSE)</f>
        <v>Time 2</v>
      </c>
      <c r="D468" s="2" t="s">
        <v>22</v>
      </c>
      <c r="E468" s="2" t="s">
        <v>25</v>
      </c>
      <c r="F468" s="4" t="s">
        <v>668</v>
      </c>
      <c r="G468" s="5" t="str">
        <f t="shared" si="6"/>
        <v>60095864307</v>
      </c>
      <c r="H468" s="6">
        <v>2991</v>
      </c>
      <c r="I468" s="6">
        <v>5278</v>
      </c>
      <c r="J468" s="7">
        <f t="shared" si="7"/>
        <v>0</v>
      </c>
      <c r="K468" s="7">
        <f t="shared" si="8"/>
        <v>0</v>
      </c>
      <c r="L468" s="7">
        <f t="shared" si="9"/>
        <v>0</v>
      </c>
      <c r="M468" s="7">
        <f>IFERROR(VLOOKUP(G468,'Base de faturamento'!A:C,2,FALSE),0)</f>
        <v>0</v>
      </c>
      <c r="N468" s="8">
        <f>IFERROR(VLOOKUP(G468,'Base de faturamento'!A:C,3,FALSE),0)</f>
        <v>0</v>
      </c>
      <c r="O468" s="8">
        <f t="shared" si="10"/>
        <v>32</v>
      </c>
      <c r="P468" s="9" t="b">
        <f t="shared" si="11"/>
        <v>0</v>
      </c>
    </row>
    <row r="469" spans="1:16" ht="15" x14ac:dyDescent="0.25">
      <c r="A469" s="2" t="s">
        <v>669</v>
      </c>
      <c r="B469" s="2" t="s">
        <v>17</v>
      </c>
      <c r="C469" s="3" t="str">
        <f>VLOOKUP(B469,Dados!$A$3:$B$10,2,FALSE)</f>
        <v>Time 3</v>
      </c>
      <c r="D469" s="2" t="s">
        <v>22</v>
      </c>
      <c r="E469" s="2" t="s">
        <v>19</v>
      </c>
      <c r="F469" s="4" t="s">
        <v>670</v>
      </c>
      <c r="G469" s="5" t="str">
        <f t="shared" si="6"/>
        <v>60271468286</v>
      </c>
      <c r="H469" s="6">
        <v>2576</v>
      </c>
      <c r="I469" s="6">
        <v>0</v>
      </c>
      <c r="J469" s="7">
        <f t="shared" si="7"/>
        <v>2576</v>
      </c>
      <c r="K469" s="7">
        <f t="shared" si="8"/>
        <v>772.8</v>
      </c>
      <c r="L469" s="7">
        <f t="shared" si="9"/>
        <v>1</v>
      </c>
      <c r="M469" s="7">
        <f>IFERROR(VLOOKUP(G469,'Base de faturamento'!A:C,2,FALSE),0)</f>
        <v>2576</v>
      </c>
      <c r="N469" s="8">
        <f>IFERROR(VLOOKUP(G469,'Base de faturamento'!A:C,3,FALSE),0)</f>
        <v>44701</v>
      </c>
      <c r="O469" s="8">
        <f t="shared" si="10"/>
        <v>44713</v>
      </c>
      <c r="P469" s="8">
        <f t="shared" si="11"/>
        <v>44713</v>
      </c>
    </row>
    <row r="470" spans="1:16" ht="15" x14ac:dyDescent="0.25">
      <c r="A470" s="2" t="s">
        <v>671</v>
      </c>
      <c r="B470" s="2" t="s">
        <v>24</v>
      </c>
      <c r="C470" s="3" t="str">
        <f>VLOOKUP(B470,Dados!$A$3:$B$10,2,FALSE)</f>
        <v>Time 2</v>
      </c>
      <c r="D470" s="2" t="s">
        <v>18</v>
      </c>
      <c r="E470" s="2" t="s">
        <v>19</v>
      </c>
      <c r="F470" s="4" t="s">
        <v>672</v>
      </c>
      <c r="G470" s="5" t="str">
        <f t="shared" si="6"/>
        <v>60719245311</v>
      </c>
      <c r="H470" s="6">
        <v>5647</v>
      </c>
      <c r="I470" s="6">
        <v>0</v>
      </c>
      <c r="J470" s="7">
        <f t="shared" si="7"/>
        <v>5647</v>
      </c>
      <c r="K470" s="7">
        <f t="shared" si="8"/>
        <v>1129.4000000000001</v>
      </c>
      <c r="L470" s="7">
        <f t="shared" si="9"/>
        <v>1</v>
      </c>
      <c r="M470" s="7">
        <f>IFERROR(VLOOKUP(G470,'Base de faturamento'!A:C,2,FALSE),0)</f>
        <v>5647</v>
      </c>
      <c r="N470" s="8">
        <f>IFERROR(VLOOKUP(G470,'Base de faturamento'!A:C,3,FALSE),0)</f>
        <v>44682</v>
      </c>
      <c r="O470" s="8">
        <f t="shared" si="10"/>
        <v>44713</v>
      </c>
      <c r="P470" s="8">
        <f t="shared" si="11"/>
        <v>44713</v>
      </c>
    </row>
    <row r="471" spans="1:16" ht="15" x14ac:dyDescent="0.25">
      <c r="A471" s="2" t="s">
        <v>673</v>
      </c>
      <c r="B471" s="2" t="s">
        <v>27</v>
      </c>
      <c r="C471" s="3" t="str">
        <f>VLOOKUP(B471,Dados!$A$3:$B$10,2,FALSE)</f>
        <v>Time 2</v>
      </c>
      <c r="D471" s="2" t="s">
        <v>18</v>
      </c>
      <c r="E471" s="2" t="s">
        <v>19</v>
      </c>
      <c r="F471" s="4" t="s">
        <v>674</v>
      </c>
      <c r="G471" s="5" t="str">
        <f t="shared" si="6"/>
        <v>60954166954</v>
      </c>
      <c r="H471" s="6">
        <v>9349</v>
      </c>
      <c r="I471" s="6">
        <v>0</v>
      </c>
      <c r="J471" s="7">
        <f t="shared" si="7"/>
        <v>9349</v>
      </c>
      <c r="K471" s="7">
        <f t="shared" si="8"/>
        <v>1869.8000000000002</v>
      </c>
      <c r="L471" s="7">
        <f t="shared" si="9"/>
        <v>1</v>
      </c>
      <c r="M471" s="7">
        <f>IFERROR(VLOOKUP(G471,'Base de faturamento'!A:C,2,FALSE),0)</f>
        <v>9349</v>
      </c>
      <c r="N471" s="8">
        <f>IFERROR(VLOOKUP(G471,'Base de faturamento'!A:C,3,FALSE),0)</f>
        <v>44739</v>
      </c>
      <c r="O471" s="8">
        <f t="shared" si="10"/>
        <v>44743</v>
      </c>
      <c r="P471" s="8">
        <f t="shared" si="11"/>
        <v>44743</v>
      </c>
    </row>
    <row r="472" spans="1:16" ht="15" x14ac:dyDescent="0.25">
      <c r="A472" s="2" t="s">
        <v>675</v>
      </c>
      <c r="B472" s="2" t="s">
        <v>21</v>
      </c>
      <c r="C472" s="3" t="str">
        <f>VLOOKUP(B472,Dados!$A$3:$B$10,2,FALSE)</f>
        <v>Time 1</v>
      </c>
      <c r="D472" s="2" t="s">
        <v>22</v>
      </c>
      <c r="E472" s="2" t="s">
        <v>25</v>
      </c>
      <c r="F472" s="4" t="s">
        <v>676</v>
      </c>
      <c r="G472" s="5" t="str">
        <f t="shared" si="6"/>
        <v>61206523308</v>
      </c>
      <c r="H472" s="6">
        <v>7353</v>
      </c>
      <c r="I472" s="6">
        <v>7578</v>
      </c>
      <c r="J472" s="7">
        <f t="shared" si="7"/>
        <v>0</v>
      </c>
      <c r="K472" s="7">
        <f t="shared" si="8"/>
        <v>0</v>
      </c>
      <c r="L472" s="7">
        <f t="shared" si="9"/>
        <v>1</v>
      </c>
      <c r="M472" s="7">
        <f>IFERROR(VLOOKUP(G472,'Base de faturamento'!A:C,2,FALSE),0)</f>
        <v>7353</v>
      </c>
      <c r="N472" s="8">
        <f>IFERROR(VLOOKUP(G472,'Base de faturamento'!A:C,3,FALSE),0)</f>
        <v>44718</v>
      </c>
      <c r="O472" s="8">
        <f t="shared" si="10"/>
        <v>44727</v>
      </c>
      <c r="P472" s="8">
        <f t="shared" si="11"/>
        <v>44743</v>
      </c>
    </row>
    <row r="473" spans="1:16" ht="15" x14ac:dyDescent="0.25">
      <c r="A473" s="2" t="s">
        <v>677</v>
      </c>
      <c r="B473" s="2" t="s">
        <v>24</v>
      </c>
      <c r="C473" s="3" t="str">
        <f>VLOOKUP(B473,Dados!$A$3:$B$10,2,FALSE)</f>
        <v>Time 2</v>
      </c>
      <c r="D473" s="2" t="s">
        <v>18</v>
      </c>
      <c r="E473" s="2" t="s">
        <v>25</v>
      </c>
      <c r="F473" s="4" t="s">
        <v>678</v>
      </c>
      <c r="G473" s="5" t="str">
        <f t="shared" si="6"/>
        <v>61302961629</v>
      </c>
      <c r="H473" s="6">
        <v>2745</v>
      </c>
      <c r="I473" s="6">
        <v>3269</v>
      </c>
      <c r="J473" s="7">
        <f t="shared" si="7"/>
        <v>0</v>
      </c>
      <c r="K473" s="7">
        <f t="shared" si="8"/>
        <v>0</v>
      </c>
      <c r="L473" s="7">
        <f t="shared" si="9"/>
        <v>1</v>
      </c>
      <c r="M473" s="7">
        <f>IFERROR(VLOOKUP(G473,'Base de faturamento'!A:C,2,FALSE),0)</f>
        <v>2745</v>
      </c>
      <c r="N473" s="8">
        <f>IFERROR(VLOOKUP(G473,'Base de faturamento'!A:C,3,FALSE),0)</f>
        <v>44657</v>
      </c>
      <c r="O473" s="8">
        <f t="shared" si="10"/>
        <v>44682</v>
      </c>
      <c r="P473" s="8">
        <f t="shared" si="11"/>
        <v>44682</v>
      </c>
    </row>
    <row r="474" spans="1:16" ht="15" x14ac:dyDescent="0.25">
      <c r="A474" s="2" t="s">
        <v>679</v>
      </c>
      <c r="B474" s="2" t="s">
        <v>24</v>
      </c>
      <c r="C474" s="3" t="str">
        <f>VLOOKUP(B474,Dados!$A$3:$B$10,2,FALSE)</f>
        <v>Time 2</v>
      </c>
      <c r="D474" s="2" t="s">
        <v>18</v>
      </c>
      <c r="E474" s="2" t="s">
        <v>19</v>
      </c>
      <c r="F474" s="4" t="s">
        <v>680</v>
      </c>
      <c r="G474" s="5" t="str">
        <f t="shared" si="6"/>
        <v>61443263045</v>
      </c>
      <c r="H474" s="6">
        <v>6201</v>
      </c>
      <c r="I474" s="6">
        <v>0</v>
      </c>
      <c r="J474" s="7">
        <f t="shared" si="7"/>
        <v>6201</v>
      </c>
      <c r="K474" s="7">
        <f t="shared" si="8"/>
        <v>1240.2</v>
      </c>
      <c r="L474" s="7">
        <f t="shared" si="9"/>
        <v>1</v>
      </c>
      <c r="M474" s="7">
        <f>IFERROR(VLOOKUP(G474,'Base de faturamento'!A:C,2,FALSE),0)</f>
        <v>6201</v>
      </c>
      <c r="N474" s="8">
        <f>IFERROR(VLOOKUP(G474,'Base de faturamento'!A:C,3,FALSE),0)</f>
        <v>44683</v>
      </c>
      <c r="O474" s="8">
        <f t="shared" si="10"/>
        <v>44713</v>
      </c>
      <c r="P474" s="8">
        <f t="shared" si="11"/>
        <v>44713</v>
      </c>
    </row>
    <row r="475" spans="1:16" ht="15" x14ac:dyDescent="0.25">
      <c r="A475" s="2" t="s">
        <v>681</v>
      </c>
      <c r="B475" s="2" t="s">
        <v>31</v>
      </c>
      <c r="C475" s="3" t="str">
        <f>VLOOKUP(B475,Dados!$A$3:$B$10,2,FALSE)</f>
        <v>Time 3</v>
      </c>
      <c r="D475" s="2" t="s">
        <v>18</v>
      </c>
      <c r="E475" s="2" t="s">
        <v>19</v>
      </c>
      <c r="F475" s="4" t="s">
        <v>682</v>
      </c>
      <c r="G475" s="5" t="str">
        <f t="shared" si="6"/>
        <v>61465848118</v>
      </c>
      <c r="H475" s="6">
        <v>2466</v>
      </c>
      <c r="I475" s="6">
        <v>0</v>
      </c>
      <c r="J475" s="7">
        <f t="shared" si="7"/>
        <v>2466</v>
      </c>
      <c r="K475" s="7">
        <f t="shared" si="8"/>
        <v>493.20000000000005</v>
      </c>
      <c r="L475" s="7">
        <f t="shared" si="9"/>
        <v>1</v>
      </c>
      <c r="M475" s="7">
        <f>IFERROR(VLOOKUP(G475,'Base de faturamento'!A:C,2,FALSE),0)</f>
        <v>2466</v>
      </c>
      <c r="N475" s="8">
        <f>IFERROR(VLOOKUP(G475,'Base de faturamento'!A:C,3,FALSE),0)</f>
        <v>44652</v>
      </c>
      <c r="O475" s="8">
        <f t="shared" si="10"/>
        <v>44682</v>
      </c>
      <c r="P475" s="8">
        <f t="shared" si="11"/>
        <v>44682</v>
      </c>
    </row>
    <row r="476" spans="1:16" ht="15" x14ac:dyDescent="0.25">
      <c r="A476" s="2" t="s">
        <v>683</v>
      </c>
      <c r="B476" s="2" t="s">
        <v>27</v>
      </c>
      <c r="C476" s="3" t="str">
        <f>VLOOKUP(B476,Dados!$A$3:$B$10,2,FALSE)</f>
        <v>Time 2</v>
      </c>
      <c r="D476" s="2" t="s">
        <v>22</v>
      </c>
      <c r="E476" s="2" t="s">
        <v>19</v>
      </c>
      <c r="F476" s="4" t="s">
        <v>684</v>
      </c>
      <c r="G476" s="5" t="str">
        <f t="shared" si="6"/>
        <v>61668680588</v>
      </c>
      <c r="H476" s="6">
        <v>1499</v>
      </c>
      <c r="I476" s="6">
        <v>0</v>
      </c>
      <c r="J476" s="7">
        <f t="shared" si="7"/>
        <v>1499</v>
      </c>
      <c r="K476" s="7">
        <f t="shared" si="8"/>
        <v>449.7</v>
      </c>
      <c r="L476" s="7">
        <f t="shared" si="9"/>
        <v>1</v>
      </c>
      <c r="M476" s="7">
        <f>IFERROR(VLOOKUP(G476,'Base de faturamento'!A:C,2,FALSE),0)</f>
        <v>1499</v>
      </c>
      <c r="N476" s="8">
        <f>IFERROR(VLOOKUP(G476,'Base de faturamento'!A:C,3,FALSE),0)</f>
        <v>44728</v>
      </c>
      <c r="O476" s="8">
        <f t="shared" si="10"/>
        <v>44743</v>
      </c>
      <c r="P476" s="8">
        <f t="shared" si="11"/>
        <v>44743</v>
      </c>
    </row>
    <row r="477" spans="1:16" ht="15" x14ac:dyDescent="0.25">
      <c r="A477" s="2" t="s">
        <v>685</v>
      </c>
      <c r="B477" s="2" t="s">
        <v>29</v>
      </c>
      <c r="C477" s="3" t="str">
        <f>VLOOKUP(B477,Dados!$A$3:$B$10,2,FALSE)</f>
        <v>Time 2</v>
      </c>
      <c r="D477" s="2" t="s">
        <v>22</v>
      </c>
      <c r="E477" s="2" t="s">
        <v>25</v>
      </c>
      <c r="F477" s="4" t="s">
        <v>686</v>
      </c>
      <c r="G477" s="5" t="str">
        <f t="shared" si="6"/>
        <v>61939475216</v>
      </c>
      <c r="H477" s="6">
        <v>4083</v>
      </c>
      <c r="I477" s="6">
        <v>4322</v>
      </c>
      <c r="J477" s="7">
        <f t="shared" si="7"/>
        <v>0</v>
      </c>
      <c r="K477" s="7">
        <f t="shared" si="8"/>
        <v>0</v>
      </c>
      <c r="L477" s="7">
        <f t="shared" si="9"/>
        <v>1</v>
      </c>
      <c r="M477" s="7">
        <f>IFERROR(VLOOKUP(G477,'Base de faturamento'!A:C,2,FALSE),0)</f>
        <v>4083</v>
      </c>
      <c r="N477" s="8">
        <f>IFERROR(VLOOKUP(G477,'Base de faturamento'!A:C,3,FALSE),0)</f>
        <v>44668</v>
      </c>
      <c r="O477" s="8">
        <f t="shared" si="10"/>
        <v>44682</v>
      </c>
      <c r="P477" s="8">
        <f t="shared" si="11"/>
        <v>44682</v>
      </c>
    </row>
    <row r="478" spans="1:16" ht="15" x14ac:dyDescent="0.25">
      <c r="A478" s="2" t="s">
        <v>687</v>
      </c>
      <c r="B478" s="2" t="s">
        <v>33</v>
      </c>
      <c r="C478" s="3" t="str">
        <f>VLOOKUP(B478,Dados!$A$3:$B$10,2,FALSE)</f>
        <v>Time 1</v>
      </c>
      <c r="D478" s="2" t="s">
        <v>22</v>
      </c>
      <c r="E478" s="2" t="s">
        <v>19</v>
      </c>
      <c r="F478" s="4" t="s">
        <v>688</v>
      </c>
      <c r="G478" s="5" t="str">
        <f t="shared" si="6"/>
        <v>62131346836</v>
      </c>
      <c r="H478" s="6">
        <v>3345</v>
      </c>
      <c r="I478" s="6">
        <v>0</v>
      </c>
      <c r="J478" s="7">
        <f t="shared" si="7"/>
        <v>3345</v>
      </c>
      <c r="K478" s="7">
        <f t="shared" si="8"/>
        <v>1003.5</v>
      </c>
      <c r="L478" s="7">
        <f t="shared" si="9"/>
        <v>1</v>
      </c>
      <c r="M478" s="7">
        <f>IFERROR(VLOOKUP(G478,'Base de faturamento'!A:C,2,FALSE),0)</f>
        <v>3345</v>
      </c>
      <c r="N478" s="8">
        <f>IFERROR(VLOOKUP(G478,'Base de faturamento'!A:C,3,FALSE),0)</f>
        <v>44633</v>
      </c>
      <c r="O478" s="8">
        <f t="shared" si="10"/>
        <v>44635</v>
      </c>
      <c r="P478" s="8">
        <f t="shared" si="11"/>
        <v>44652</v>
      </c>
    </row>
    <row r="479" spans="1:16" ht="15" x14ac:dyDescent="0.25">
      <c r="A479" s="2" t="s">
        <v>689</v>
      </c>
      <c r="B479" s="2" t="s">
        <v>17</v>
      </c>
      <c r="C479" s="3" t="str">
        <f>VLOOKUP(B479,Dados!$A$3:$B$10,2,FALSE)</f>
        <v>Time 3</v>
      </c>
      <c r="D479" s="2" t="s">
        <v>18</v>
      </c>
      <c r="E479" s="2" t="s">
        <v>19</v>
      </c>
      <c r="F479" s="4" t="s">
        <v>690</v>
      </c>
      <c r="G479" s="5" t="str">
        <f t="shared" si="6"/>
        <v>62483937026</v>
      </c>
      <c r="H479" s="6">
        <v>1696</v>
      </c>
      <c r="I479" s="6">
        <v>0</v>
      </c>
      <c r="J479" s="7">
        <f t="shared" si="7"/>
        <v>1696</v>
      </c>
      <c r="K479" s="7">
        <f t="shared" si="8"/>
        <v>339.20000000000005</v>
      </c>
      <c r="L479" s="7">
        <f t="shared" si="9"/>
        <v>1</v>
      </c>
      <c r="M479" s="7">
        <f>IFERROR(VLOOKUP(G479,'Base de faturamento'!A:C,2,FALSE),0)</f>
        <v>1696</v>
      </c>
      <c r="N479" s="8">
        <f>IFERROR(VLOOKUP(G479,'Base de faturamento'!A:C,3,FALSE),0)</f>
        <v>44697</v>
      </c>
      <c r="O479" s="8">
        <f t="shared" si="10"/>
        <v>44713</v>
      </c>
      <c r="P479" s="8">
        <f t="shared" si="11"/>
        <v>44713</v>
      </c>
    </row>
    <row r="480" spans="1:16" ht="15" x14ac:dyDescent="0.25">
      <c r="A480" s="2" t="s">
        <v>691</v>
      </c>
      <c r="B480" s="2" t="s">
        <v>33</v>
      </c>
      <c r="C480" s="3" t="str">
        <f>VLOOKUP(B480,Dados!$A$3:$B$10,2,FALSE)</f>
        <v>Time 1</v>
      </c>
      <c r="D480" s="2" t="s">
        <v>18</v>
      </c>
      <c r="E480" s="2" t="s">
        <v>19</v>
      </c>
      <c r="F480" s="4" t="s">
        <v>692</v>
      </c>
      <c r="G480" s="5" t="str">
        <f t="shared" si="6"/>
        <v>62716482994</v>
      </c>
      <c r="H480" s="6">
        <v>7765</v>
      </c>
      <c r="I480" s="6">
        <v>0</v>
      </c>
      <c r="J480" s="7">
        <f t="shared" si="7"/>
        <v>7765</v>
      </c>
      <c r="K480" s="7">
        <f t="shared" si="8"/>
        <v>1553</v>
      </c>
      <c r="L480" s="7">
        <f t="shared" si="9"/>
        <v>1</v>
      </c>
      <c r="M480" s="7">
        <f>IFERROR(VLOOKUP(G480,'Base de faturamento'!A:C,2,FALSE),0)</f>
        <v>7765</v>
      </c>
      <c r="N480" s="8">
        <f>IFERROR(VLOOKUP(G480,'Base de faturamento'!A:C,3,FALSE),0)</f>
        <v>44664</v>
      </c>
      <c r="O480" s="8">
        <f t="shared" si="10"/>
        <v>44666</v>
      </c>
      <c r="P480" s="8">
        <f t="shared" si="11"/>
        <v>44682</v>
      </c>
    </row>
    <row r="481" spans="1:16" ht="15" x14ac:dyDescent="0.25">
      <c r="A481" s="2" t="s">
        <v>693</v>
      </c>
      <c r="B481" s="2" t="s">
        <v>27</v>
      </c>
      <c r="C481" s="3" t="str">
        <f>VLOOKUP(B481,Dados!$A$3:$B$10,2,FALSE)</f>
        <v>Time 2</v>
      </c>
      <c r="D481" s="2" t="s">
        <v>22</v>
      </c>
      <c r="E481" s="2" t="s">
        <v>25</v>
      </c>
      <c r="F481" s="4" t="s">
        <v>694</v>
      </c>
      <c r="G481" s="5" t="str">
        <f t="shared" si="6"/>
        <v>63053083325</v>
      </c>
      <c r="H481" s="6">
        <v>2776</v>
      </c>
      <c r="I481" s="6">
        <v>7311</v>
      </c>
      <c r="J481" s="7">
        <f t="shared" si="7"/>
        <v>0</v>
      </c>
      <c r="K481" s="7">
        <f t="shared" si="8"/>
        <v>0</v>
      </c>
      <c r="L481" s="7">
        <f t="shared" si="9"/>
        <v>1</v>
      </c>
      <c r="M481" s="7">
        <f>IFERROR(VLOOKUP(G481,'Base de faturamento'!A:C,2,FALSE),0)</f>
        <v>2776</v>
      </c>
      <c r="N481" s="8">
        <f>IFERROR(VLOOKUP(G481,'Base de faturamento'!A:C,3,FALSE),0)</f>
        <v>44702</v>
      </c>
      <c r="O481" s="8">
        <f t="shared" si="10"/>
        <v>44713</v>
      </c>
      <c r="P481" s="8">
        <f t="shared" si="11"/>
        <v>44713</v>
      </c>
    </row>
    <row r="482" spans="1:16" ht="15" x14ac:dyDescent="0.25">
      <c r="A482" s="2" t="s">
        <v>695</v>
      </c>
      <c r="B482" s="2" t="s">
        <v>29</v>
      </c>
      <c r="C482" s="3" t="str">
        <f>VLOOKUP(B482,Dados!$A$3:$B$10,2,FALSE)</f>
        <v>Time 2</v>
      </c>
      <c r="D482" s="2" t="s">
        <v>22</v>
      </c>
      <c r="E482" s="2" t="s">
        <v>19</v>
      </c>
      <c r="F482" s="4" t="s">
        <v>696</v>
      </c>
      <c r="G482" s="5" t="str">
        <f t="shared" si="6"/>
        <v>63800429841</v>
      </c>
      <c r="H482" s="6">
        <v>3247</v>
      </c>
      <c r="I482" s="6">
        <v>0</v>
      </c>
      <c r="J482" s="7">
        <f t="shared" si="7"/>
        <v>3247</v>
      </c>
      <c r="K482" s="7">
        <f t="shared" si="8"/>
        <v>974.09999999999991</v>
      </c>
      <c r="L482" s="7">
        <f t="shared" si="9"/>
        <v>1</v>
      </c>
      <c r="M482" s="7">
        <f>IFERROR(VLOOKUP(G482,'Base de faturamento'!A:C,2,FALSE),0)</f>
        <v>3247</v>
      </c>
      <c r="N482" s="8">
        <f>IFERROR(VLOOKUP(G482,'Base de faturamento'!A:C,3,FALSE),0)</f>
        <v>44714</v>
      </c>
      <c r="O482" s="8">
        <f t="shared" si="10"/>
        <v>44743</v>
      </c>
      <c r="P482" s="8">
        <f t="shared" si="11"/>
        <v>44743</v>
      </c>
    </row>
    <row r="483" spans="1:16" ht="15" x14ac:dyDescent="0.25">
      <c r="A483" s="2" t="s">
        <v>697</v>
      </c>
      <c r="B483" s="2" t="s">
        <v>29</v>
      </c>
      <c r="C483" s="3" t="str">
        <f>VLOOKUP(B483,Dados!$A$3:$B$10,2,FALSE)</f>
        <v>Time 2</v>
      </c>
      <c r="D483" s="2" t="s">
        <v>18</v>
      </c>
      <c r="E483" s="2" t="s">
        <v>19</v>
      </c>
      <c r="F483" s="4" t="s">
        <v>698</v>
      </c>
      <c r="G483" s="5" t="str">
        <f t="shared" si="6"/>
        <v>63995806779</v>
      </c>
      <c r="H483" s="6">
        <v>2402</v>
      </c>
      <c r="I483" s="6">
        <v>0</v>
      </c>
      <c r="J483" s="7">
        <f t="shared" si="7"/>
        <v>2402</v>
      </c>
      <c r="K483" s="7">
        <f t="shared" si="8"/>
        <v>480.40000000000003</v>
      </c>
      <c r="L483" s="7">
        <f t="shared" si="9"/>
        <v>1</v>
      </c>
      <c r="M483" s="7">
        <f>IFERROR(VLOOKUP(G483,'Base de faturamento'!A:C,2,FALSE),0)</f>
        <v>2402</v>
      </c>
      <c r="N483" s="8">
        <f>IFERROR(VLOOKUP(G483,'Base de faturamento'!A:C,3,FALSE),0)</f>
        <v>44711</v>
      </c>
      <c r="O483" s="8">
        <f t="shared" si="10"/>
        <v>44713</v>
      </c>
      <c r="P483" s="8">
        <f t="shared" si="11"/>
        <v>44713</v>
      </c>
    </row>
    <row r="484" spans="1:16" ht="15" x14ac:dyDescent="0.25">
      <c r="A484" s="2" t="s">
        <v>699</v>
      </c>
      <c r="B484" s="2" t="s">
        <v>36</v>
      </c>
      <c r="C484" s="3" t="str">
        <f>VLOOKUP(B484,Dados!$A$3:$B$10,2,FALSE)</f>
        <v>Time 1</v>
      </c>
      <c r="D484" s="2" t="s">
        <v>18</v>
      </c>
      <c r="E484" s="2" t="s">
        <v>25</v>
      </c>
      <c r="F484" s="4" t="s">
        <v>700</v>
      </c>
      <c r="G484" s="5" t="str">
        <f t="shared" si="6"/>
        <v>64176899542</v>
      </c>
      <c r="H484" s="6">
        <v>6177</v>
      </c>
      <c r="I484" s="6">
        <v>7283</v>
      </c>
      <c r="J484" s="7">
        <f t="shared" si="7"/>
        <v>0</v>
      </c>
      <c r="K484" s="7">
        <f t="shared" si="8"/>
        <v>0</v>
      </c>
      <c r="L484" s="7">
        <f t="shared" si="9"/>
        <v>1</v>
      </c>
      <c r="M484" s="7">
        <f>IFERROR(VLOOKUP(G484,'Base de faturamento'!A:C,2,FALSE),0)</f>
        <v>6177</v>
      </c>
      <c r="N484" s="8">
        <f>IFERROR(VLOOKUP(G484,'Base de faturamento'!A:C,3,FALSE),0)</f>
        <v>44701</v>
      </c>
      <c r="O484" s="8">
        <f t="shared" si="10"/>
        <v>44696</v>
      </c>
      <c r="P484" s="8">
        <f t="shared" si="11"/>
        <v>44713</v>
      </c>
    </row>
    <row r="485" spans="1:16" ht="15" x14ac:dyDescent="0.25">
      <c r="A485" s="2" t="s">
        <v>701</v>
      </c>
      <c r="B485" s="2" t="s">
        <v>29</v>
      </c>
      <c r="C485" s="3" t="str">
        <f>VLOOKUP(B485,Dados!$A$3:$B$10,2,FALSE)</f>
        <v>Time 2</v>
      </c>
      <c r="D485" s="2" t="s">
        <v>18</v>
      </c>
      <c r="E485" s="2" t="s">
        <v>19</v>
      </c>
      <c r="F485" s="4" t="s">
        <v>702</v>
      </c>
      <c r="G485" s="5" t="str">
        <f t="shared" si="6"/>
        <v>64363747954</v>
      </c>
      <c r="H485" s="6">
        <v>5065</v>
      </c>
      <c r="I485" s="6">
        <v>0</v>
      </c>
      <c r="J485" s="7">
        <f t="shared" si="7"/>
        <v>5065</v>
      </c>
      <c r="K485" s="7">
        <f t="shared" si="8"/>
        <v>1013</v>
      </c>
      <c r="L485" s="7">
        <f t="shared" si="9"/>
        <v>1</v>
      </c>
      <c r="M485" s="7">
        <f>IFERROR(VLOOKUP(G485,'Base de faturamento'!A:C,2,FALSE),0)</f>
        <v>5065</v>
      </c>
      <c r="N485" s="8">
        <f>IFERROR(VLOOKUP(G485,'Base de faturamento'!A:C,3,FALSE),0)</f>
        <v>44671</v>
      </c>
      <c r="O485" s="8">
        <f t="shared" si="10"/>
        <v>44682</v>
      </c>
      <c r="P485" s="8">
        <f t="shared" si="11"/>
        <v>44682</v>
      </c>
    </row>
    <row r="486" spans="1:16" ht="15" x14ac:dyDescent="0.25">
      <c r="A486" s="2" t="s">
        <v>703</v>
      </c>
      <c r="B486" s="2" t="s">
        <v>29</v>
      </c>
      <c r="C486" s="3" t="str">
        <f>VLOOKUP(B486,Dados!$A$3:$B$10,2,FALSE)</f>
        <v>Time 2</v>
      </c>
      <c r="D486" s="2" t="s">
        <v>22</v>
      </c>
      <c r="E486" s="2" t="s">
        <v>19</v>
      </c>
      <c r="F486" s="4" t="s">
        <v>704</v>
      </c>
      <c r="G486" s="5" t="str">
        <f t="shared" si="6"/>
        <v>65061329438</v>
      </c>
      <c r="H486" s="6">
        <v>9529</v>
      </c>
      <c r="I486" s="6">
        <v>0</v>
      </c>
      <c r="J486" s="7">
        <f t="shared" si="7"/>
        <v>9529</v>
      </c>
      <c r="K486" s="7">
        <f t="shared" si="8"/>
        <v>2858.7</v>
      </c>
      <c r="L486" s="7">
        <f t="shared" si="9"/>
        <v>1</v>
      </c>
      <c r="M486" s="7">
        <f>IFERROR(VLOOKUP(G486,'Base de faturamento'!A:C,2,FALSE),0)</f>
        <v>9529</v>
      </c>
      <c r="N486" s="8">
        <f>IFERROR(VLOOKUP(G486,'Base de faturamento'!A:C,3,FALSE),0)</f>
        <v>44701</v>
      </c>
      <c r="O486" s="8">
        <f t="shared" si="10"/>
        <v>44713</v>
      </c>
      <c r="P486" s="8">
        <f t="shared" si="11"/>
        <v>44713</v>
      </c>
    </row>
    <row r="487" spans="1:16" ht="15" x14ac:dyDescent="0.25">
      <c r="A487" s="2" t="s">
        <v>705</v>
      </c>
      <c r="B487" s="2" t="s">
        <v>36</v>
      </c>
      <c r="C487" s="3" t="str">
        <f>VLOOKUP(B487,Dados!$A$3:$B$10,2,FALSE)</f>
        <v>Time 1</v>
      </c>
      <c r="D487" s="2" t="s">
        <v>22</v>
      </c>
      <c r="E487" s="2" t="s">
        <v>19</v>
      </c>
      <c r="F487" s="4" t="s">
        <v>706</v>
      </c>
      <c r="G487" s="5" t="str">
        <f t="shared" si="6"/>
        <v>66370130909</v>
      </c>
      <c r="H487" s="6">
        <v>7726</v>
      </c>
      <c r="I487" s="6">
        <v>0</v>
      </c>
      <c r="J487" s="7">
        <f t="shared" si="7"/>
        <v>7726</v>
      </c>
      <c r="K487" s="7">
        <f t="shared" si="8"/>
        <v>2317.7999999999997</v>
      </c>
      <c r="L487" s="7">
        <f t="shared" si="9"/>
        <v>1</v>
      </c>
      <c r="M487" s="7">
        <f>IFERROR(VLOOKUP(G487,'Base de faturamento'!A:C,2,FALSE),0)</f>
        <v>7726</v>
      </c>
      <c r="N487" s="8">
        <f>IFERROR(VLOOKUP(G487,'Base de faturamento'!A:C,3,FALSE),0)</f>
        <v>44728</v>
      </c>
      <c r="O487" s="8">
        <f t="shared" si="10"/>
        <v>44727</v>
      </c>
      <c r="P487" s="8">
        <f t="shared" si="11"/>
        <v>44743</v>
      </c>
    </row>
    <row r="488" spans="1:16" ht="15" x14ac:dyDescent="0.25">
      <c r="A488" s="2" t="s">
        <v>707</v>
      </c>
      <c r="B488" s="2" t="s">
        <v>36</v>
      </c>
      <c r="C488" s="3" t="str">
        <f>VLOOKUP(B488,Dados!$A$3:$B$10,2,FALSE)</f>
        <v>Time 1</v>
      </c>
      <c r="D488" s="2" t="s">
        <v>22</v>
      </c>
      <c r="E488" s="2" t="s">
        <v>25</v>
      </c>
      <c r="F488" s="4" t="s">
        <v>708</v>
      </c>
      <c r="G488" s="5" t="str">
        <f t="shared" si="6"/>
        <v>66953699020</v>
      </c>
      <c r="H488" s="6">
        <v>9568</v>
      </c>
      <c r="I488" s="6">
        <v>6538</v>
      </c>
      <c r="J488" s="7">
        <f t="shared" si="7"/>
        <v>3030</v>
      </c>
      <c r="K488" s="7">
        <f t="shared" si="8"/>
        <v>909</v>
      </c>
      <c r="L488" s="7">
        <f t="shared" si="9"/>
        <v>1</v>
      </c>
      <c r="M488" s="7">
        <f>IFERROR(VLOOKUP(G488,'Base de faturamento'!A:C,2,FALSE),0)</f>
        <v>9568</v>
      </c>
      <c r="N488" s="8">
        <f>IFERROR(VLOOKUP(G488,'Base de faturamento'!A:C,3,FALSE),0)</f>
        <v>44628</v>
      </c>
      <c r="O488" s="8">
        <f t="shared" si="10"/>
        <v>44635</v>
      </c>
      <c r="P488" s="8">
        <f t="shared" si="11"/>
        <v>44652</v>
      </c>
    </row>
    <row r="489" spans="1:16" ht="15" x14ac:dyDescent="0.25">
      <c r="A489" s="2" t="s">
        <v>709</v>
      </c>
      <c r="B489" s="2" t="s">
        <v>17</v>
      </c>
      <c r="C489" s="3" t="str">
        <f>VLOOKUP(B489,Dados!$A$3:$B$10,2,FALSE)</f>
        <v>Time 3</v>
      </c>
      <c r="D489" s="2" t="s">
        <v>18</v>
      </c>
      <c r="E489" s="2" t="s">
        <v>25</v>
      </c>
      <c r="F489" s="4" t="s">
        <v>710</v>
      </c>
      <c r="G489" s="5" t="str">
        <f t="shared" si="6"/>
        <v>67486043116</v>
      </c>
      <c r="H489" s="6">
        <v>2655</v>
      </c>
      <c r="I489" s="6">
        <v>7153</v>
      </c>
      <c r="J489" s="7">
        <f t="shared" si="7"/>
        <v>0</v>
      </c>
      <c r="K489" s="7">
        <f t="shared" si="8"/>
        <v>0</v>
      </c>
      <c r="L489" s="7">
        <f t="shared" si="9"/>
        <v>1</v>
      </c>
      <c r="M489" s="7">
        <f>IFERROR(VLOOKUP(G489,'Base de faturamento'!A:C,2,FALSE),0)</f>
        <v>2655</v>
      </c>
      <c r="N489" s="8">
        <f>IFERROR(VLOOKUP(G489,'Base de faturamento'!A:C,3,FALSE),0)</f>
        <v>44695</v>
      </c>
      <c r="O489" s="8">
        <f t="shared" si="10"/>
        <v>44713</v>
      </c>
      <c r="P489" s="8">
        <f t="shared" si="11"/>
        <v>44713</v>
      </c>
    </row>
    <row r="490" spans="1:16" ht="15" x14ac:dyDescent="0.25">
      <c r="A490" s="2" t="s">
        <v>711</v>
      </c>
      <c r="B490" s="2" t="s">
        <v>21</v>
      </c>
      <c r="C490" s="3" t="str">
        <f>VLOOKUP(B490,Dados!$A$3:$B$10,2,FALSE)</f>
        <v>Time 1</v>
      </c>
      <c r="D490" s="2" t="s">
        <v>18</v>
      </c>
      <c r="E490" s="2" t="s">
        <v>19</v>
      </c>
      <c r="F490" s="4" t="s">
        <v>712</v>
      </c>
      <c r="G490" s="5" t="str">
        <f t="shared" si="6"/>
        <v>67534069430</v>
      </c>
      <c r="H490" s="6">
        <v>8219</v>
      </c>
      <c r="I490" s="6">
        <v>0</v>
      </c>
      <c r="J490" s="7">
        <f t="shared" si="7"/>
        <v>8219</v>
      </c>
      <c r="K490" s="7">
        <f t="shared" si="8"/>
        <v>1643.8000000000002</v>
      </c>
      <c r="L490" s="7">
        <f t="shared" si="9"/>
        <v>1</v>
      </c>
      <c r="M490" s="7">
        <f>IFERROR(VLOOKUP(G490,'Base de faturamento'!A:C,2,FALSE),0)</f>
        <v>8219</v>
      </c>
      <c r="N490" s="8">
        <f>IFERROR(VLOOKUP(G490,'Base de faturamento'!A:C,3,FALSE),0)</f>
        <v>44714</v>
      </c>
      <c r="O490" s="8">
        <f t="shared" si="10"/>
        <v>44727</v>
      </c>
      <c r="P490" s="8">
        <f t="shared" si="11"/>
        <v>44743</v>
      </c>
    </row>
    <row r="491" spans="1:16" ht="15" x14ac:dyDescent="0.25">
      <c r="A491" s="2" t="s">
        <v>713</v>
      </c>
      <c r="B491" s="2" t="s">
        <v>17</v>
      </c>
      <c r="C491" s="3" t="str">
        <f>VLOOKUP(B491,Dados!$A$3:$B$10,2,FALSE)</f>
        <v>Time 3</v>
      </c>
      <c r="D491" s="2" t="s">
        <v>22</v>
      </c>
      <c r="E491" s="2" t="s">
        <v>19</v>
      </c>
      <c r="F491" s="4" t="s">
        <v>714</v>
      </c>
      <c r="G491" s="5" t="str">
        <f t="shared" si="6"/>
        <v>67612439907</v>
      </c>
      <c r="H491" s="6">
        <v>7204</v>
      </c>
      <c r="I491" s="6">
        <v>0</v>
      </c>
      <c r="J491" s="7">
        <f t="shared" si="7"/>
        <v>7204</v>
      </c>
      <c r="K491" s="7">
        <f t="shared" si="8"/>
        <v>2161.1999999999998</v>
      </c>
      <c r="L491" s="7">
        <f t="shared" si="9"/>
        <v>1</v>
      </c>
      <c r="M491" s="7">
        <f>IFERROR(VLOOKUP(G491,'Base de faturamento'!A:C,2,FALSE),0)</f>
        <v>7204</v>
      </c>
      <c r="N491" s="8">
        <f>IFERROR(VLOOKUP(G491,'Base de faturamento'!A:C,3,FALSE),0)</f>
        <v>44657</v>
      </c>
      <c r="O491" s="8">
        <f t="shared" si="10"/>
        <v>44682</v>
      </c>
      <c r="P491" s="8">
        <f t="shared" si="11"/>
        <v>44682</v>
      </c>
    </row>
    <row r="492" spans="1:16" ht="15" x14ac:dyDescent="0.25">
      <c r="A492" s="2" t="s">
        <v>715</v>
      </c>
      <c r="B492" s="2" t="s">
        <v>33</v>
      </c>
      <c r="C492" s="3" t="str">
        <f>VLOOKUP(B492,Dados!$A$3:$B$10,2,FALSE)</f>
        <v>Time 1</v>
      </c>
      <c r="D492" s="2" t="s">
        <v>22</v>
      </c>
      <c r="E492" s="2" t="s">
        <v>19</v>
      </c>
      <c r="F492" s="4" t="s">
        <v>716</v>
      </c>
      <c r="G492" s="5" t="str">
        <f t="shared" si="6"/>
        <v>67723236675</v>
      </c>
      <c r="H492" s="6">
        <v>3043</v>
      </c>
      <c r="I492" s="6">
        <v>0</v>
      </c>
      <c r="J492" s="7">
        <f t="shared" si="7"/>
        <v>3043</v>
      </c>
      <c r="K492" s="7">
        <f t="shared" si="8"/>
        <v>912.9</v>
      </c>
      <c r="L492" s="7">
        <f t="shared" si="9"/>
        <v>1</v>
      </c>
      <c r="M492" s="7">
        <f>IFERROR(VLOOKUP(G492,'Base de faturamento'!A:C,2,FALSE),0)</f>
        <v>3043</v>
      </c>
      <c r="N492" s="8">
        <f>IFERROR(VLOOKUP(G492,'Base de faturamento'!A:C,3,FALSE),0)</f>
        <v>44652</v>
      </c>
      <c r="O492" s="8">
        <f t="shared" si="10"/>
        <v>44666</v>
      </c>
      <c r="P492" s="8">
        <f t="shared" si="11"/>
        <v>44682</v>
      </c>
    </row>
    <row r="493" spans="1:16" ht="15" x14ac:dyDescent="0.25">
      <c r="A493" s="2" t="s">
        <v>717</v>
      </c>
      <c r="B493" s="2" t="s">
        <v>36</v>
      </c>
      <c r="C493" s="3" t="str">
        <f>VLOOKUP(B493,Dados!$A$3:$B$10,2,FALSE)</f>
        <v>Time 1</v>
      </c>
      <c r="D493" s="2" t="s">
        <v>22</v>
      </c>
      <c r="E493" s="2" t="s">
        <v>25</v>
      </c>
      <c r="F493" s="4" t="s">
        <v>718</v>
      </c>
      <c r="G493" s="5" t="str">
        <f t="shared" si="6"/>
        <v>68092382313</v>
      </c>
      <c r="H493" s="6">
        <v>5234</v>
      </c>
      <c r="I493" s="6">
        <v>1720</v>
      </c>
      <c r="J493" s="7">
        <f t="shared" si="7"/>
        <v>3514</v>
      </c>
      <c r="K493" s="7">
        <f t="shared" si="8"/>
        <v>1054.2</v>
      </c>
      <c r="L493" s="7">
        <f t="shared" si="9"/>
        <v>1</v>
      </c>
      <c r="M493" s="7">
        <f>IFERROR(VLOOKUP(G493,'Base de faturamento'!A:C,2,FALSE),0)</f>
        <v>5234</v>
      </c>
      <c r="N493" s="8">
        <f>IFERROR(VLOOKUP(G493,'Base de faturamento'!A:C,3,FALSE),0)</f>
        <v>44624</v>
      </c>
      <c r="O493" s="8">
        <f t="shared" si="10"/>
        <v>44635</v>
      </c>
      <c r="P493" s="8">
        <f t="shared" si="11"/>
        <v>44652</v>
      </c>
    </row>
    <row r="494" spans="1:16" ht="15" x14ac:dyDescent="0.25">
      <c r="A494" s="2" t="s">
        <v>719</v>
      </c>
      <c r="B494" s="2" t="s">
        <v>31</v>
      </c>
      <c r="C494" s="3" t="str">
        <f>VLOOKUP(B494,Dados!$A$3:$B$10,2,FALSE)</f>
        <v>Time 3</v>
      </c>
      <c r="D494" s="2" t="s">
        <v>22</v>
      </c>
      <c r="E494" s="2" t="s">
        <v>19</v>
      </c>
      <c r="F494" s="4" t="s">
        <v>720</v>
      </c>
      <c r="G494" s="5" t="str">
        <f t="shared" si="6"/>
        <v>68417204141</v>
      </c>
      <c r="H494" s="6">
        <v>3653</v>
      </c>
      <c r="I494" s="6">
        <v>0</v>
      </c>
      <c r="J494" s="7">
        <f t="shared" si="7"/>
        <v>3653</v>
      </c>
      <c r="K494" s="7">
        <f t="shared" si="8"/>
        <v>1095.8999999999999</v>
      </c>
      <c r="L494" s="7">
        <f t="shared" si="9"/>
        <v>1</v>
      </c>
      <c r="M494" s="7">
        <f>IFERROR(VLOOKUP(G494,'Base de faturamento'!A:C,2,FALSE),0)</f>
        <v>3653</v>
      </c>
      <c r="N494" s="8">
        <f>IFERROR(VLOOKUP(G494,'Base de faturamento'!A:C,3,FALSE),0)</f>
        <v>44713</v>
      </c>
      <c r="O494" s="8">
        <f t="shared" si="10"/>
        <v>44743</v>
      </c>
      <c r="P494" s="8">
        <f t="shared" si="11"/>
        <v>44743</v>
      </c>
    </row>
    <row r="495" spans="1:16" ht="15" x14ac:dyDescent="0.25">
      <c r="A495" s="2" t="s">
        <v>721</v>
      </c>
      <c r="B495" s="2" t="s">
        <v>27</v>
      </c>
      <c r="C495" s="3" t="str">
        <f>VLOOKUP(B495,Dados!$A$3:$B$10,2,FALSE)</f>
        <v>Time 2</v>
      </c>
      <c r="D495" s="2" t="s">
        <v>18</v>
      </c>
      <c r="E495" s="2" t="s">
        <v>19</v>
      </c>
      <c r="F495" s="4" t="s">
        <v>722</v>
      </c>
      <c r="G495" s="5" t="str">
        <f t="shared" si="6"/>
        <v>68595627974</v>
      </c>
      <c r="H495" s="6">
        <v>5032</v>
      </c>
      <c r="I495" s="6">
        <v>0</v>
      </c>
      <c r="J495" s="7">
        <f t="shared" si="7"/>
        <v>5032</v>
      </c>
      <c r="K495" s="7">
        <f t="shared" si="8"/>
        <v>1006.4000000000001</v>
      </c>
      <c r="L495" s="7">
        <f t="shared" si="9"/>
        <v>1</v>
      </c>
      <c r="M495" s="7">
        <f>IFERROR(VLOOKUP(G495,'Base de faturamento'!A:C,2,FALSE),0)</f>
        <v>5032</v>
      </c>
      <c r="N495" s="8">
        <f>IFERROR(VLOOKUP(G495,'Base de faturamento'!A:C,3,FALSE),0)</f>
        <v>44728</v>
      </c>
      <c r="O495" s="8">
        <f t="shared" si="10"/>
        <v>44743</v>
      </c>
      <c r="P495" s="8">
        <f t="shared" si="11"/>
        <v>44743</v>
      </c>
    </row>
    <row r="496" spans="1:16" ht="15" x14ac:dyDescent="0.25">
      <c r="A496" s="2" t="s">
        <v>723</v>
      </c>
      <c r="B496" s="2" t="s">
        <v>21</v>
      </c>
      <c r="C496" s="3" t="str">
        <f>VLOOKUP(B496,Dados!$A$3:$B$10,2,FALSE)</f>
        <v>Time 1</v>
      </c>
      <c r="D496" s="2" t="s">
        <v>18</v>
      </c>
      <c r="E496" s="2" t="s">
        <v>25</v>
      </c>
      <c r="F496" s="4" t="s">
        <v>724</v>
      </c>
      <c r="G496" s="5" t="str">
        <f t="shared" si="6"/>
        <v>68672309763</v>
      </c>
      <c r="H496" s="6">
        <v>8259</v>
      </c>
      <c r="I496" s="6">
        <v>7738</v>
      </c>
      <c r="J496" s="7">
        <f t="shared" si="7"/>
        <v>521</v>
      </c>
      <c r="K496" s="7">
        <f t="shared" si="8"/>
        <v>104.2</v>
      </c>
      <c r="L496" s="7">
        <f t="shared" si="9"/>
        <v>1</v>
      </c>
      <c r="M496" s="7">
        <f>IFERROR(VLOOKUP(G496,'Base de faturamento'!A:C,2,FALSE),0)</f>
        <v>8259</v>
      </c>
      <c r="N496" s="8">
        <f>IFERROR(VLOOKUP(G496,'Base de faturamento'!A:C,3,FALSE),0)</f>
        <v>44631</v>
      </c>
      <c r="O496" s="8">
        <f t="shared" si="10"/>
        <v>44635</v>
      </c>
      <c r="P496" s="8">
        <f t="shared" si="11"/>
        <v>44652</v>
      </c>
    </row>
    <row r="497" spans="1:16" ht="15" x14ac:dyDescent="0.25">
      <c r="A497" s="2" t="s">
        <v>725</v>
      </c>
      <c r="B497" s="2" t="s">
        <v>31</v>
      </c>
      <c r="C497" s="3" t="str">
        <f>VLOOKUP(B497,Dados!$A$3:$B$10,2,FALSE)</f>
        <v>Time 3</v>
      </c>
      <c r="D497" s="2" t="s">
        <v>18</v>
      </c>
      <c r="E497" s="2" t="s">
        <v>19</v>
      </c>
      <c r="F497" s="4" t="s">
        <v>726</v>
      </c>
      <c r="G497" s="5" t="str">
        <f t="shared" si="6"/>
        <v>68835045586</v>
      </c>
      <c r="H497" s="6">
        <v>7511</v>
      </c>
      <c r="I497" s="6">
        <v>0</v>
      </c>
      <c r="J497" s="7">
        <f t="shared" si="7"/>
        <v>7511</v>
      </c>
      <c r="K497" s="7">
        <f t="shared" si="8"/>
        <v>1502.2</v>
      </c>
      <c r="L497" s="7">
        <f t="shared" si="9"/>
        <v>1</v>
      </c>
      <c r="M497" s="7">
        <f>IFERROR(VLOOKUP(G497,'Base de faturamento'!A:C,2,FALSE),0)</f>
        <v>7511</v>
      </c>
      <c r="N497" s="8">
        <f>IFERROR(VLOOKUP(G497,'Base de faturamento'!A:C,3,FALSE),0)</f>
        <v>44680</v>
      </c>
      <c r="O497" s="8">
        <f t="shared" si="10"/>
        <v>44682</v>
      </c>
      <c r="P497" s="8">
        <f t="shared" si="11"/>
        <v>44682</v>
      </c>
    </row>
    <row r="498" spans="1:16" ht="15" x14ac:dyDescent="0.25">
      <c r="A498" s="2" t="s">
        <v>727</v>
      </c>
      <c r="B498" s="2" t="s">
        <v>33</v>
      </c>
      <c r="C498" s="3" t="str">
        <f>VLOOKUP(B498,Dados!$A$3:$B$10,2,FALSE)</f>
        <v>Time 1</v>
      </c>
      <c r="D498" s="2" t="s">
        <v>18</v>
      </c>
      <c r="E498" s="2" t="s">
        <v>25</v>
      </c>
      <c r="F498" s="4" t="s">
        <v>728</v>
      </c>
      <c r="G498" s="5" t="str">
        <f t="shared" si="6"/>
        <v>69445556884</v>
      </c>
      <c r="H498" s="6">
        <v>2509</v>
      </c>
      <c r="I498" s="6">
        <v>9550</v>
      </c>
      <c r="J498" s="7">
        <f t="shared" si="7"/>
        <v>0</v>
      </c>
      <c r="K498" s="7">
        <f t="shared" si="8"/>
        <v>0</v>
      </c>
      <c r="L498" s="7">
        <f t="shared" si="9"/>
        <v>1</v>
      </c>
      <c r="M498" s="7">
        <f>IFERROR(VLOOKUP(G498,'Base de faturamento'!A:C,2,FALSE),0)</f>
        <v>2509</v>
      </c>
      <c r="N498" s="8">
        <f>IFERROR(VLOOKUP(G498,'Base de faturamento'!A:C,3,FALSE),0)</f>
        <v>44733</v>
      </c>
      <c r="O498" s="8">
        <f t="shared" si="10"/>
        <v>44727</v>
      </c>
      <c r="P498" s="8">
        <f t="shared" si="11"/>
        <v>44743</v>
      </c>
    </row>
    <row r="499" spans="1:16" ht="15" x14ac:dyDescent="0.25">
      <c r="A499" s="2" t="s">
        <v>729</v>
      </c>
      <c r="B499" s="2" t="s">
        <v>27</v>
      </c>
      <c r="C499" s="3" t="str">
        <f>VLOOKUP(B499,Dados!$A$3:$B$10,2,FALSE)</f>
        <v>Time 2</v>
      </c>
      <c r="D499" s="2" t="s">
        <v>18</v>
      </c>
      <c r="E499" s="2" t="s">
        <v>19</v>
      </c>
      <c r="F499" s="4" t="s">
        <v>730</v>
      </c>
      <c r="G499" s="5" t="str">
        <f t="shared" si="6"/>
        <v>69743083741</v>
      </c>
      <c r="H499" s="6">
        <v>1962</v>
      </c>
      <c r="I499" s="6">
        <v>0</v>
      </c>
      <c r="J499" s="7">
        <f t="shared" si="7"/>
        <v>1962</v>
      </c>
      <c r="K499" s="7">
        <f t="shared" si="8"/>
        <v>392.40000000000003</v>
      </c>
      <c r="L499" s="7">
        <f t="shared" si="9"/>
        <v>1</v>
      </c>
      <c r="M499" s="7">
        <f>IFERROR(VLOOKUP(G499,'Base de faturamento'!A:C,2,FALSE),0)</f>
        <v>1962</v>
      </c>
      <c r="N499" s="8">
        <f>IFERROR(VLOOKUP(G499,'Base de faturamento'!A:C,3,FALSE),0)</f>
        <v>44733</v>
      </c>
      <c r="O499" s="8">
        <f t="shared" si="10"/>
        <v>44743</v>
      </c>
      <c r="P499" s="8">
        <f t="shared" si="11"/>
        <v>44743</v>
      </c>
    </row>
    <row r="500" spans="1:16" ht="15" x14ac:dyDescent="0.25">
      <c r="A500" s="2" t="s">
        <v>731</v>
      </c>
      <c r="B500" s="2" t="s">
        <v>24</v>
      </c>
      <c r="C500" s="3" t="str">
        <f>VLOOKUP(B500,Dados!$A$3:$B$10,2,FALSE)</f>
        <v>Time 2</v>
      </c>
      <c r="D500" s="2" t="s">
        <v>18</v>
      </c>
      <c r="E500" s="2" t="s">
        <v>25</v>
      </c>
      <c r="F500" s="4" t="s">
        <v>732</v>
      </c>
      <c r="G500" s="5" t="str">
        <f t="shared" si="6"/>
        <v>70022705973</v>
      </c>
      <c r="H500" s="6">
        <v>4145</v>
      </c>
      <c r="I500" s="6">
        <v>8768</v>
      </c>
      <c r="J500" s="7">
        <f t="shared" si="7"/>
        <v>0</v>
      </c>
      <c r="K500" s="7">
        <f t="shared" si="8"/>
        <v>0</v>
      </c>
      <c r="L500" s="7">
        <f t="shared" si="9"/>
        <v>1</v>
      </c>
      <c r="M500" s="7">
        <f>IFERROR(VLOOKUP(G500,'Base de faturamento'!A:C,2,FALSE),0)</f>
        <v>4145</v>
      </c>
      <c r="N500" s="8">
        <f>IFERROR(VLOOKUP(G500,'Base de faturamento'!A:C,3,FALSE),0)</f>
        <v>44735</v>
      </c>
      <c r="O500" s="8">
        <f t="shared" si="10"/>
        <v>44743</v>
      </c>
      <c r="P500" s="8">
        <f t="shared" si="11"/>
        <v>44743</v>
      </c>
    </row>
    <row r="501" spans="1:16" ht="15" x14ac:dyDescent="0.25">
      <c r="A501" s="2" t="s">
        <v>733</v>
      </c>
      <c r="B501" s="2" t="s">
        <v>33</v>
      </c>
      <c r="C501" s="3" t="str">
        <f>VLOOKUP(B501,Dados!$A$3:$B$10,2,FALSE)</f>
        <v>Time 1</v>
      </c>
      <c r="D501" s="2" t="s">
        <v>18</v>
      </c>
      <c r="E501" s="2" t="s">
        <v>19</v>
      </c>
      <c r="F501" s="4" t="s">
        <v>734</v>
      </c>
      <c r="G501" s="5" t="str">
        <f t="shared" si="6"/>
        <v>70363813052</v>
      </c>
      <c r="H501" s="6">
        <v>4831</v>
      </c>
      <c r="I501" s="6">
        <v>0</v>
      </c>
      <c r="J501" s="7">
        <f t="shared" si="7"/>
        <v>4831</v>
      </c>
      <c r="K501" s="7">
        <f t="shared" si="8"/>
        <v>966.2</v>
      </c>
      <c r="L501" s="7">
        <f t="shared" si="9"/>
        <v>1</v>
      </c>
      <c r="M501" s="7">
        <f>IFERROR(VLOOKUP(G501,'Base de faturamento'!A:C,2,FALSE),0)</f>
        <v>4831</v>
      </c>
      <c r="N501" s="8">
        <f>IFERROR(VLOOKUP(G501,'Base de faturamento'!A:C,3,FALSE),0)</f>
        <v>44625</v>
      </c>
      <c r="O501" s="8">
        <f t="shared" si="10"/>
        <v>44635</v>
      </c>
      <c r="P501" s="8">
        <f t="shared" si="11"/>
        <v>44652</v>
      </c>
    </row>
    <row r="502" spans="1:16" ht="15" x14ac:dyDescent="0.25">
      <c r="A502" s="2" t="s">
        <v>735</v>
      </c>
      <c r="B502" s="2" t="s">
        <v>17</v>
      </c>
      <c r="C502" s="3" t="str">
        <f>VLOOKUP(B502,Dados!$A$3:$B$10,2,FALSE)</f>
        <v>Time 3</v>
      </c>
      <c r="D502" s="2" t="s">
        <v>22</v>
      </c>
      <c r="E502" s="2" t="s">
        <v>19</v>
      </c>
      <c r="F502" s="4" t="s">
        <v>736</v>
      </c>
      <c r="G502" s="5" t="str">
        <f t="shared" si="6"/>
        <v>71443225080</v>
      </c>
      <c r="H502" s="6">
        <v>7614</v>
      </c>
      <c r="I502" s="6">
        <v>0</v>
      </c>
      <c r="J502" s="7">
        <f t="shared" si="7"/>
        <v>7614</v>
      </c>
      <c r="K502" s="7">
        <f t="shared" si="8"/>
        <v>2284.1999999999998</v>
      </c>
      <c r="L502" s="7">
        <f t="shared" si="9"/>
        <v>1</v>
      </c>
      <c r="M502" s="7">
        <f>IFERROR(VLOOKUP(G502,'Base de faturamento'!A:C,2,FALSE),0)</f>
        <v>7614</v>
      </c>
      <c r="N502" s="8">
        <f>IFERROR(VLOOKUP(G502,'Base de faturamento'!A:C,3,FALSE),0)</f>
        <v>44697</v>
      </c>
      <c r="O502" s="8">
        <f t="shared" si="10"/>
        <v>44713</v>
      </c>
      <c r="P502" s="8">
        <f t="shared" si="11"/>
        <v>44713</v>
      </c>
    </row>
    <row r="503" spans="1:16" ht="15" x14ac:dyDescent="0.25">
      <c r="A503" s="2" t="s">
        <v>737</v>
      </c>
      <c r="B503" s="2" t="s">
        <v>31</v>
      </c>
      <c r="C503" s="3" t="str">
        <f>VLOOKUP(B503,Dados!$A$3:$B$10,2,FALSE)</f>
        <v>Time 3</v>
      </c>
      <c r="D503" s="2" t="s">
        <v>18</v>
      </c>
      <c r="E503" s="2" t="s">
        <v>25</v>
      </c>
      <c r="F503" s="4" t="s">
        <v>738</v>
      </c>
      <c r="G503" s="5" t="str">
        <f t="shared" si="6"/>
        <v>72025418655</v>
      </c>
      <c r="H503" s="6">
        <v>9450</v>
      </c>
      <c r="I503" s="6">
        <v>2968</v>
      </c>
      <c r="J503" s="7">
        <f t="shared" si="7"/>
        <v>6482</v>
      </c>
      <c r="K503" s="7">
        <f t="shared" si="8"/>
        <v>1296.4000000000001</v>
      </c>
      <c r="L503" s="7">
        <f t="shared" si="9"/>
        <v>1</v>
      </c>
      <c r="M503" s="7">
        <f>IFERROR(VLOOKUP(G503,'Base de faturamento'!A:C,2,FALSE),0)</f>
        <v>9450</v>
      </c>
      <c r="N503" s="8">
        <f>IFERROR(VLOOKUP(G503,'Base de faturamento'!A:C,3,FALSE),0)</f>
        <v>44667</v>
      </c>
      <c r="O503" s="8">
        <f t="shared" si="10"/>
        <v>44682</v>
      </c>
      <c r="P503" s="8">
        <f t="shared" si="11"/>
        <v>44682</v>
      </c>
    </row>
    <row r="504" spans="1:16" ht="15" x14ac:dyDescent="0.25">
      <c r="A504" s="2" t="s">
        <v>739</v>
      </c>
      <c r="B504" s="2" t="s">
        <v>31</v>
      </c>
      <c r="C504" s="3" t="str">
        <f>VLOOKUP(B504,Dados!$A$3:$B$10,2,FALSE)</f>
        <v>Time 3</v>
      </c>
      <c r="D504" s="2" t="s">
        <v>22</v>
      </c>
      <c r="E504" s="2" t="s">
        <v>25</v>
      </c>
      <c r="F504" s="4" t="s">
        <v>740</v>
      </c>
      <c r="G504" s="5" t="str">
        <f t="shared" si="6"/>
        <v>72148592889</v>
      </c>
      <c r="H504" s="6">
        <v>5651</v>
      </c>
      <c r="I504" s="6">
        <v>6348</v>
      </c>
      <c r="J504" s="7">
        <f t="shared" si="7"/>
        <v>0</v>
      </c>
      <c r="K504" s="7">
        <f t="shared" si="8"/>
        <v>0</v>
      </c>
      <c r="L504" s="7">
        <f t="shared" si="9"/>
        <v>0</v>
      </c>
      <c r="M504" s="7">
        <f>IFERROR(VLOOKUP(G504,'Base de faturamento'!A:C,2,FALSE),0)</f>
        <v>0</v>
      </c>
      <c r="N504" s="8">
        <f>IFERROR(VLOOKUP(G504,'Base de faturamento'!A:C,3,FALSE),0)</f>
        <v>0</v>
      </c>
      <c r="O504" s="8">
        <f t="shared" si="10"/>
        <v>32</v>
      </c>
      <c r="P504" s="9" t="b">
        <f t="shared" si="11"/>
        <v>0</v>
      </c>
    </row>
    <row r="505" spans="1:16" ht="15" x14ac:dyDescent="0.25">
      <c r="A505" s="2" t="s">
        <v>741</v>
      </c>
      <c r="B505" s="2" t="s">
        <v>24</v>
      </c>
      <c r="C505" s="3" t="str">
        <f>VLOOKUP(B505,Dados!$A$3:$B$10,2,FALSE)</f>
        <v>Time 2</v>
      </c>
      <c r="D505" s="2" t="s">
        <v>22</v>
      </c>
      <c r="E505" s="2" t="s">
        <v>19</v>
      </c>
      <c r="F505" s="4" t="s">
        <v>742</v>
      </c>
      <c r="G505" s="5" t="str">
        <f t="shared" si="6"/>
        <v>72320793418</v>
      </c>
      <c r="H505" s="6">
        <v>8443</v>
      </c>
      <c r="I505" s="6">
        <v>0</v>
      </c>
      <c r="J505" s="7">
        <f t="shared" si="7"/>
        <v>8443</v>
      </c>
      <c r="K505" s="7">
        <f t="shared" si="8"/>
        <v>2532.9</v>
      </c>
      <c r="L505" s="7">
        <f t="shared" si="9"/>
        <v>1</v>
      </c>
      <c r="M505" s="7">
        <f>IFERROR(VLOOKUP(G505,'Base de faturamento'!A:C,2,FALSE),0)</f>
        <v>8443</v>
      </c>
      <c r="N505" s="8">
        <f>IFERROR(VLOOKUP(G505,'Base de faturamento'!A:C,3,FALSE),0)</f>
        <v>44688</v>
      </c>
      <c r="O505" s="8">
        <f t="shared" si="10"/>
        <v>44713</v>
      </c>
      <c r="P505" s="8">
        <f t="shared" si="11"/>
        <v>44713</v>
      </c>
    </row>
    <row r="506" spans="1:16" ht="15" x14ac:dyDescent="0.25">
      <c r="A506" s="2" t="s">
        <v>743</v>
      </c>
      <c r="B506" s="2" t="s">
        <v>33</v>
      </c>
      <c r="C506" s="3" t="str">
        <f>VLOOKUP(B506,Dados!$A$3:$B$10,2,FALSE)</f>
        <v>Time 1</v>
      </c>
      <c r="D506" s="2" t="s">
        <v>18</v>
      </c>
      <c r="E506" s="2" t="s">
        <v>19</v>
      </c>
      <c r="F506" s="4" t="s">
        <v>744</v>
      </c>
      <c r="G506" s="5" t="str">
        <f t="shared" si="6"/>
        <v>72481286667</v>
      </c>
      <c r="H506" s="6">
        <v>4940</v>
      </c>
      <c r="I506" s="6">
        <v>0</v>
      </c>
      <c r="J506" s="7">
        <f t="shared" si="7"/>
        <v>4940</v>
      </c>
      <c r="K506" s="7">
        <f t="shared" si="8"/>
        <v>988</v>
      </c>
      <c r="L506" s="7">
        <f t="shared" si="9"/>
        <v>1</v>
      </c>
      <c r="M506" s="7">
        <f>IFERROR(VLOOKUP(G506,'Base de faturamento'!A:C,2,FALSE),0)</f>
        <v>4940</v>
      </c>
      <c r="N506" s="8">
        <f>IFERROR(VLOOKUP(G506,'Base de faturamento'!A:C,3,FALSE),0)</f>
        <v>44740</v>
      </c>
      <c r="O506" s="8">
        <f t="shared" si="10"/>
        <v>44727</v>
      </c>
      <c r="P506" s="8">
        <f t="shared" si="11"/>
        <v>44743</v>
      </c>
    </row>
    <row r="507" spans="1:16" ht="15" x14ac:dyDescent="0.25">
      <c r="A507" s="2" t="s">
        <v>745</v>
      </c>
      <c r="B507" s="2" t="s">
        <v>17</v>
      </c>
      <c r="C507" s="3" t="str">
        <f>VLOOKUP(B507,Dados!$A$3:$B$10,2,FALSE)</f>
        <v>Time 3</v>
      </c>
      <c r="D507" s="2" t="s">
        <v>22</v>
      </c>
      <c r="E507" s="2" t="s">
        <v>19</v>
      </c>
      <c r="F507" s="4" t="s">
        <v>746</v>
      </c>
      <c r="G507" s="5" t="str">
        <f t="shared" si="6"/>
        <v>72483827486</v>
      </c>
      <c r="H507" s="6">
        <v>8236</v>
      </c>
      <c r="I507" s="6">
        <v>0</v>
      </c>
      <c r="J507" s="7">
        <f t="shared" si="7"/>
        <v>8236</v>
      </c>
      <c r="K507" s="7">
        <f t="shared" si="8"/>
        <v>2470.7999999999997</v>
      </c>
      <c r="L507" s="7">
        <f t="shared" si="9"/>
        <v>1</v>
      </c>
      <c r="M507" s="7">
        <f>IFERROR(VLOOKUP(G507,'Base de faturamento'!A:C,2,FALSE),0)</f>
        <v>8236</v>
      </c>
      <c r="N507" s="8">
        <f>IFERROR(VLOOKUP(G507,'Base de faturamento'!A:C,3,FALSE),0)</f>
        <v>44651</v>
      </c>
      <c r="O507" s="8">
        <f t="shared" si="10"/>
        <v>44652</v>
      </c>
      <c r="P507" s="8">
        <f t="shared" si="11"/>
        <v>44652</v>
      </c>
    </row>
    <row r="508" spans="1:16" ht="15" x14ac:dyDescent="0.25">
      <c r="A508" s="2" t="s">
        <v>747</v>
      </c>
      <c r="B508" s="2" t="s">
        <v>29</v>
      </c>
      <c r="C508" s="3" t="str">
        <f>VLOOKUP(B508,Dados!$A$3:$B$10,2,FALSE)</f>
        <v>Time 2</v>
      </c>
      <c r="D508" s="2" t="s">
        <v>18</v>
      </c>
      <c r="E508" s="2" t="s">
        <v>19</v>
      </c>
      <c r="F508" s="4" t="s">
        <v>748</v>
      </c>
      <c r="G508" s="5" t="str">
        <f t="shared" si="6"/>
        <v>72928634517</v>
      </c>
      <c r="H508" s="6">
        <v>6646</v>
      </c>
      <c r="I508" s="6">
        <v>0</v>
      </c>
      <c r="J508" s="7">
        <f t="shared" si="7"/>
        <v>6646</v>
      </c>
      <c r="K508" s="7">
        <f t="shared" si="8"/>
        <v>1329.2</v>
      </c>
      <c r="L508" s="7">
        <f t="shared" si="9"/>
        <v>1</v>
      </c>
      <c r="M508" s="7">
        <f>IFERROR(VLOOKUP(G508,'Base de faturamento'!A:C,2,FALSE),0)</f>
        <v>6646</v>
      </c>
      <c r="N508" s="8">
        <f>IFERROR(VLOOKUP(G508,'Base de faturamento'!A:C,3,FALSE),0)</f>
        <v>44623</v>
      </c>
      <c r="O508" s="8">
        <f t="shared" si="10"/>
        <v>44652</v>
      </c>
      <c r="P508" s="8">
        <f t="shared" si="11"/>
        <v>44652</v>
      </c>
    </row>
    <row r="509" spans="1:16" ht="15" x14ac:dyDescent="0.25">
      <c r="A509" s="2" t="s">
        <v>749</v>
      </c>
      <c r="B509" s="2" t="s">
        <v>33</v>
      </c>
      <c r="C509" s="3" t="str">
        <f>VLOOKUP(B509,Dados!$A$3:$B$10,2,FALSE)</f>
        <v>Time 1</v>
      </c>
      <c r="D509" s="2" t="s">
        <v>22</v>
      </c>
      <c r="E509" s="2" t="s">
        <v>25</v>
      </c>
      <c r="F509" s="4" t="s">
        <v>750</v>
      </c>
      <c r="G509" s="5" t="str">
        <f t="shared" si="6"/>
        <v>73358277403</v>
      </c>
      <c r="H509" s="6">
        <v>7421</v>
      </c>
      <c r="I509" s="6">
        <v>2474</v>
      </c>
      <c r="J509" s="7">
        <f t="shared" si="7"/>
        <v>4947</v>
      </c>
      <c r="K509" s="7">
        <f t="shared" si="8"/>
        <v>1484.1</v>
      </c>
      <c r="L509" s="7">
        <f t="shared" si="9"/>
        <v>1</v>
      </c>
      <c r="M509" s="7">
        <f>IFERROR(VLOOKUP(G509,'Base de faturamento'!A:C,2,FALSE),0)</f>
        <v>7421</v>
      </c>
      <c r="N509" s="8">
        <f>IFERROR(VLOOKUP(G509,'Base de faturamento'!A:C,3,FALSE),0)</f>
        <v>44721</v>
      </c>
      <c r="O509" s="8">
        <f t="shared" si="10"/>
        <v>44727</v>
      </c>
      <c r="P509" s="8">
        <f t="shared" si="11"/>
        <v>44743</v>
      </c>
    </row>
    <row r="510" spans="1:16" ht="15" x14ac:dyDescent="0.25">
      <c r="A510" s="2" t="s">
        <v>751</v>
      </c>
      <c r="B510" s="2" t="s">
        <v>24</v>
      </c>
      <c r="C510" s="3" t="str">
        <f>VLOOKUP(B510,Dados!$A$3:$B$10,2,FALSE)</f>
        <v>Time 2</v>
      </c>
      <c r="D510" s="2" t="s">
        <v>18</v>
      </c>
      <c r="E510" s="2" t="s">
        <v>25</v>
      </c>
      <c r="F510" s="4" t="s">
        <v>752</v>
      </c>
      <c r="G510" s="5" t="str">
        <f t="shared" si="6"/>
        <v>73537782582</v>
      </c>
      <c r="H510" s="6">
        <v>8663</v>
      </c>
      <c r="I510" s="6">
        <v>7295</v>
      </c>
      <c r="J510" s="7">
        <f t="shared" si="7"/>
        <v>1368</v>
      </c>
      <c r="K510" s="7">
        <f t="shared" si="8"/>
        <v>273.60000000000002</v>
      </c>
      <c r="L510" s="7">
        <f t="shared" si="9"/>
        <v>1</v>
      </c>
      <c r="M510" s="7">
        <f>IFERROR(VLOOKUP(G510,'Base de faturamento'!A:C,2,FALSE),0)</f>
        <v>8663</v>
      </c>
      <c r="N510" s="8">
        <f>IFERROR(VLOOKUP(G510,'Base de faturamento'!A:C,3,FALSE),0)</f>
        <v>44694</v>
      </c>
      <c r="O510" s="8">
        <f t="shared" si="10"/>
        <v>44713</v>
      </c>
      <c r="P510" s="8">
        <f t="shared" si="11"/>
        <v>44713</v>
      </c>
    </row>
    <row r="511" spans="1:16" ht="15" x14ac:dyDescent="0.25">
      <c r="A511" s="2" t="s">
        <v>753</v>
      </c>
      <c r="B511" s="2" t="s">
        <v>21</v>
      </c>
      <c r="C511" s="3" t="str">
        <f>VLOOKUP(B511,Dados!$A$3:$B$10,2,FALSE)</f>
        <v>Time 1</v>
      </c>
      <c r="D511" s="2" t="s">
        <v>18</v>
      </c>
      <c r="E511" s="2" t="s">
        <v>25</v>
      </c>
      <c r="F511" s="4" t="s">
        <v>754</v>
      </c>
      <c r="G511" s="5" t="str">
        <f t="shared" si="6"/>
        <v>73631862964</v>
      </c>
      <c r="H511" s="6">
        <v>4173</v>
      </c>
      <c r="I511" s="6">
        <v>6482</v>
      </c>
      <c r="J511" s="7">
        <f t="shared" si="7"/>
        <v>0</v>
      </c>
      <c r="K511" s="7">
        <f t="shared" si="8"/>
        <v>0</v>
      </c>
      <c r="L511" s="7">
        <f t="shared" si="9"/>
        <v>1</v>
      </c>
      <c r="M511" s="7">
        <f>IFERROR(VLOOKUP(G511,'Base de faturamento'!A:C,2,FALSE),0)</f>
        <v>4173</v>
      </c>
      <c r="N511" s="8">
        <f>IFERROR(VLOOKUP(G511,'Base de faturamento'!A:C,3,FALSE),0)</f>
        <v>44716</v>
      </c>
      <c r="O511" s="8">
        <f t="shared" si="10"/>
        <v>44727</v>
      </c>
      <c r="P511" s="8">
        <f t="shared" si="11"/>
        <v>44743</v>
      </c>
    </row>
    <row r="512" spans="1:16" ht="15" x14ac:dyDescent="0.25">
      <c r="A512" s="2" t="s">
        <v>755</v>
      </c>
      <c r="B512" s="2" t="s">
        <v>27</v>
      </c>
      <c r="C512" s="3" t="str">
        <f>VLOOKUP(B512,Dados!$A$3:$B$10,2,FALSE)</f>
        <v>Time 2</v>
      </c>
      <c r="D512" s="2" t="s">
        <v>18</v>
      </c>
      <c r="E512" s="2" t="s">
        <v>19</v>
      </c>
      <c r="F512" s="4" t="s">
        <v>756</v>
      </c>
      <c r="G512" s="5" t="str">
        <f t="shared" ref="G512:G602" si="12">SUBSTITUTE(SUBSTITUTE(F512,"-",""),".","")</f>
        <v>74130556445</v>
      </c>
      <c r="H512" s="6">
        <v>3612</v>
      </c>
      <c r="I512" s="6">
        <v>0</v>
      </c>
      <c r="J512" s="7">
        <f t="shared" ref="J512:J602" si="13">IF(E512="Novo",H512,IF(AND(H512&gt;I512,E512="Renovação"),H512-I512,0))</f>
        <v>3612</v>
      </c>
      <c r="K512" s="7">
        <f t="shared" ref="K512:K602" si="14">IF(M512&gt;0,IF(D512="Móvel",J512*30%,J512*20%),0)</f>
        <v>722.40000000000009</v>
      </c>
      <c r="L512" s="7">
        <f t="shared" ref="L512:L602" si="15">IF(M512&gt;0,1,0)</f>
        <v>1</v>
      </c>
      <c r="M512" s="7">
        <f>IFERROR(VLOOKUP(G512,'Base de faturamento'!A:C,2,FALSE),0)</f>
        <v>3612</v>
      </c>
      <c r="N512" s="8">
        <f>IFERROR(VLOOKUP(G512,'Base de faturamento'!A:C,3,FALSE),0)</f>
        <v>44682</v>
      </c>
      <c r="O512" s="8">
        <f t="shared" ref="O512:O602" si="16">IF(C512="Time 1",DATE(YEAR(N512),MONTH(N512),15),DATE(YEAR(N512),MONTH(N512)+1,1))</f>
        <v>44713</v>
      </c>
      <c r="P512" s="8">
        <f t="shared" ref="P512:P602" si="17">IF(L512=1,DATE(YEAR(N512),MONTH(N512)+1,1))</f>
        <v>44713</v>
      </c>
    </row>
    <row r="513" spans="1:16" ht="15" x14ac:dyDescent="0.25">
      <c r="A513" s="2" t="s">
        <v>757</v>
      </c>
      <c r="B513" s="2" t="s">
        <v>24</v>
      </c>
      <c r="C513" s="3" t="str">
        <f>VLOOKUP(B513,Dados!$A$3:$B$10,2,FALSE)</f>
        <v>Time 2</v>
      </c>
      <c r="D513" s="2" t="s">
        <v>18</v>
      </c>
      <c r="E513" s="2" t="s">
        <v>25</v>
      </c>
      <c r="F513" s="4" t="s">
        <v>758</v>
      </c>
      <c r="G513" s="5" t="str">
        <f t="shared" si="12"/>
        <v>74548098066</v>
      </c>
      <c r="H513" s="6">
        <v>3277</v>
      </c>
      <c r="I513" s="6">
        <v>3524</v>
      </c>
      <c r="J513" s="7">
        <f t="shared" si="13"/>
        <v>0</v>
      </c>
      <c r="K513" s="7">
        <f t="shared" si="14"/>
        <v>0</v>
      </c>
      <c r="L513" s="7">
        <f t="shared" si="15"/>
        <v>1</v>
      </c>
      <c r="M513" s="7">
        <f>IFERROR(VLOOKUP(G513,'Base de faturamento'!A:C,2,FALSE),0)</f>
        <v>3277</v>
      </c>
      <c r="N513" s="8">
        <f>IFERROR(VLOOKUP(G513,'Base de faturamento'!A:C,3,FALSE),0)</f>
        <v>44671</v>
      </c>
      <c r="O513" s="8">
        <f t="shared" si="16"/>
        <v>44682</v>
      </c>
      <c r="P513" s="8">
        <f t="shared" si="17"/>
        <v>44682</v>
      </c>
    </row>
    <row r="514" spans="1:16" ht="15" x14ac:dyDescent="0.25">
      <c r="A514" s="2" t="s">
        <v>759</v>
      </c>
      <c r="B514" s="2" t="s">
        <v>33</v>
      </c>
      <c r="C514" s="3" t="str">
        <f>VLOOKUP(B514,Dados!$A$3:$B$10,2,FALSE)</f>
        <v>Time 1</v>
      </c>
      <c r="D514" s="2" t="s">
        <v>18</v>
      </c>
      <c r="E514" s="2" t="s">
        <v>25</v>
      </c>
      <c r="F514" s="4" t="s">
        <v>760</v>
      </c>
      <c r="G514" s="5" t="str">
        <f t="shared" si="12"/>
        <v>74706013475</v>
      </c>
      <c r="H514" s="6">
        <v>6510</v>
      </c>
      <c r="I514" s="6">
        <v>9113</v>
      </c>
      <c r="J514" s="7">
        <f t="shared" si="13"/>
        <v>0</v>
      </c>
      <c r="K514" s="7">
        <f t="shared" si="14"/>
        <v>0</v>
      </c>
      <c r="L514" s="7">
        <f t="shared" si="15"/>
        <v>1</v>
      </c>
      <c r="M514" s="7">
        <f>IFERROR(VLOOKUP(G514,'Base de faturamento'!A:C,2,FALSE),0)</f>
        <v>6510</v>
      </c>
      <c r="N514" s="8">
        <f>IFERROR(VLOOKUP(G514,'Base de faturamento'!A:C,3,FALSE),0)</f>
        <v>44643</v>
      </c>
      <c r="O514" s="8">
        <f t="shared" si="16"/>
        <v>44635</v>
      </c>
      <c r="P514" s="8">
        <f t="shared" si="17"/>
        <v>44652</v>
      </c>
    </row>
    <row r="515" spans="1:16" ht="15" x14ac:dyDescent="0.25">
      <c r="A515" s="2" t="s">
        <v>761</v>
      </c>
      <c r="B515" s="2" t="s">
        <v>27</v>
      </c>
      <c r="C515" s="3" t="str">
        <f>VLOOKUP(B515,Dados!$A$3:$B$10,2,FALSE)</f>
        <v>Time 2</v>
      </c>
      <c r="D515" s="2" t="s">
        <v>18</v>
      </c>
      <c r="E515" s="2" t="s">
        <v>19</v>
      </c>
      <c r="F515" s="4" t="s">
        <v>762</v>
      </c>
      <c r="G515" s="5" t="str">
        <f t="shared" si="12"/>
        <v>75194320089</v>
      </c>
      <c r="H515" s="6">
        <v>4467</v>
      </c>
      <c r="I515" s="6">
        <v>0</v>
      </c>
      <c r="J515" s="7">
        <f t="shared" si="13"/>
        <v>4467</v>
      </c>
      <c r="K515" s="7">
        <f t="shared" si="14"/>
        <v>893.40000000000009</v>
      </c>
      <c r="L515" s="7">
        <f t="shared" si="15"/>
        <v>1</v>
      </c>
      <c r="M515" s="7">
        <f>IFERROR(VLOOKUP(G515,'Base de faturamento'!A:C,2,FALSE),0)</f>
        <v>4467</v>
      </c>
      <c r="N515" s="8">
        <f>IFERROR(VLOOKUP(G515,'Base de faturamento'!A:C,3,FALSE),0)</f>
        <v>44636</v>
      </c>
      <c r="O515" s="8">
        <f t="shared" si="16"/>
        <v>44652</v>
      </c>
      <c r="P515" s="8">
        <f t="shared" si="17"/>
        <v>44652</v>
      </c>
    </row>
    <row r="516" spans="1:16" ht="15" x14ac:dyDescent="0.25">
      <c r="A516" s="2" t="s">
        <v>763</v>
      </c>
      <c r="B516" s="2" t="s">
        <v>31</v>
      </c>
      <c r="C516" s="3" t="str">
        <f>VLOOKUP(B516,Dados!$A$3:$B$10,2,FALSE)</f>
        <v>Time 3</v>
      </c>
      <c r="D516" s="2" t="s">
        <v>18</v>
      </c>
      <c r="E516" s="2" t="s">
        <v>19</v>
      </c>
      <c r="F516" s="4" t="s">
        <v>764</v>
      </c>
      <c r="G516" s="5" t="str">
        <f t="shared" si="12"/>
        <v>75619574446</v>
      </c>
      <c r="H516" s="6">
        <v>5360</v>
      </c>
      <c r="I516" s="6">
        <v>0</v>
      </c>
      <c r="J516" s="7">
        <f t="shared" si="13"/>
        <v>5360</v>
      </c>
      <c r="K516" s="7">
        <f t="shared" si="14"/>
        <v>1072</v>
      </c>
      <c r="L516" s="7">
        <f t="shared" si="15"/>
        <v>1</v>
      </c>
      <c r="M516" s="7">
        <f>IFERROR(VLOOKUP(G516,'Base de faturamento'!A:C,2,FALSE),0)</f>
        <v>5360</v>
      </c>
      <c r="N516" s="8">
        <f>IFERROR(VLOOKUP(G516,'Base de faturamento'!A:C,3,FALSE),0)</f>
        <v>44651</v>
      </c>
      <c r="O516" s="8">
        <f t="shared" si="16"/>
        <v>44652</v>
      </c>
      <c r="P516" s="8">
        <f t="shared" si="17"/>
        <v>44652</v>
      </c>
    </row>
    <row r="517" spans="1:16" ht="15" x14ac:dyDescent="0.25">
      <c r="A517" s="2" t="s">
        <v>765</v>
      </c>
      <c r="B517" s="2" t="s">
        <v>33</v>
      </c>
      <c r="C517" s="3" t="str">
        <f>VLOOKUP(B517,Dados!$A$3:$B$10,2,FALSE)</f>
        <v>Time 1</v>
      </c>
      <c r="D517" s="2" t="s">
        <v>22</v>
      </c>
      <c r="E517" s="2" t="s">
        <v>19</v>
      </c>
      <c r="F517" s="4" t="s">
        <v>766</v>
      </c>
      <c r="G517" s="5" t="str">
        <f t="shared" si="12"/>
        <v>75784272884</v>
      </c>
      <c r="H517" s="6">
        <v>7987</v>
      </c>
      <c r="I517" s="6">
        <v>0</v>
      </c>
      <c r="J517" s="7">
        <f t="shared" si="13"/>
        <v>7987</v>
      </c>
      <c r="K517" s="7">
        <f t="shared" si="14"/>
        <v>2396.1</v>
      </c>
      <c r="L517" s="7">
        <f t="shared" si="15"/>
        <v>1</v>
      </c>
      <c r="M517" s="7">
        <f>IFERROR(VLOOKUP(G517,'Base de faturamento'!A:C,2,FALSE),0)</f>
        <v>7987</v>
      </c>
      <c r="N517" s="8">
        <f>IFERROR(VLOOKUP(G517,'Base de faturamento'!A:C,3,FALSE),0)</f>
        <v>44623</v>
      </c>
      <c r="O517" s="8">
        <f t="shared" si="16"/>
        <v>44635</v>
      </c>
      <c r="P517" s="8">
        <f t="shared" si="17"/>
        <v>44652</v>
      </c>
    </row>
    <row r="518" spans="1:16" ht="15" x14ac:dyDescent="0.25">
      <c r="A518" s="2" t="s">
        <v>767</v>
      </c>
      <c r="B518" s="2" t="s">
        <v>21</v>
      </c>
      <c r="C518" s="3" t="str">
        <f>VLOOKUP(B518,Dados!$A$3:$B$10,2,FALSE)</f>
        <v>Time 1</v>
      </c>
      <c r="D518" s="2" t="s">
        <v>22</v>
      </c>
      <c r="E518" s="2" t="s">
        <v>25</v>
      </c>
      <c r="F518" s="4" t="s">
        <v>768</v>
      </c>
      <c r="G518" s="5" t="str">
        <f t="shared" si="12"/>
        <v>76660695515</v>
      </c>
      <c r="H518" s="6">
        <v>5588</v>
      </c>
      <c r="I518" s="6">
        <v>7003</v>
      </c>
      <c r="J518" s="7">
        <f t="shared" si="13"/>
        <v>0</v>
      </c>
      <c r="K518" s="7">
        <f t="shared" si="14"/>
        <v>0</v>
      </c>
      <c r="L518" s="7">
        <f t="shared" si="15"/>
        <v>1</v>
      </c>
      <c r="M518" s="7">
        <f>IFERROR(VLOOKUP(G518,'Base de faturamento'!A:C,2,FALSE),0)</f>
        <v>5588</v>
      </c>
      <c r="N518" s="8">
        <f>IFERROR(VLOOKUP(G518,'Base de faturamento'!A:C,3,FALSE),0)</f>
        <v>44702</v>
      </c>
      <c r="O518" s="8">
        <f t="shared" si="16"/>
        <v>44696</v>
      </c>
      <c r="P518" s="8">
        <f t="shared" si="17"/>
        <v>44713</v>
      </c>
    </row>
    <row r="519" spans="1:16" ht="15" x14ac:dyDescent="0.25">
      <c r="A519" s="2" t="s">
        <v>769</v>
      </c>
      <c r="B519" s="2" t="s">
        <v>36</v>
      </c>
      <c r="C519" s="3" t="str">
        <f>VLOOKUP(B519,Dados!$A$3:$B$10,2,FALSE)</f>
        <v>Time 1</v>
      </c>
      <c r="D519" s="2" t="s">
        <v>18</v>
      </c>
      <c r="E519" s="2" t="s">
        <v>25</v>
      </c>
      <c r="F519" s="4" t="s">
        <v>770</v>
      </c>
      <c r="G519" s="5" t="str">
        <f t="shared" si="12"/>
        <v>76917571752</v>
      </c>
      <c r="H519" s="6">
        <v>1856</v>
      </c>
      <c r="I519" s="6">
        <v>1652</v>
      </c>
      <c r="J519" s="7">
        <f t="shared" si="13"/>
        <v>204</v>
      </c>
      <c r="K519" s="7">
        <f t="shared" si="14"/>
        <v>40.800000000000004</v>
      </c>
      <c r="L519" s="7">
        <f t="shared" si="15"/>
        <v>1</v>
      </c>
      <c r="M519" s="7">
        <f>IFERROR(VLOOKUP(G519,'Base de faturamento'!A:C,2,FALSE),0)</f>
        <v>1856</v>
      </c>
      <c r="N519" s="8">
        <f>IFERROR(VLOOKUP(G519,'Base de faturamento'!A:C,3,FALSE),0)</f>
        <v>44736</v>
      </c>
      <c r="O519" s="8">
        <f t="shared" si="16"/>
        <v>44727</v>
      </c>
      <c r="P519" s="8">
        <f t="shared" si="17"/>
        <v>44743</v>
      </c>
    </row>
    <row r="520" spans="1:16" ht="15" x14ac:dyDescent="0.25">
      <c r="A520" s="2" t="s">
        <v>771</v>
      </c>
      <c r="B520" s="2" t="s">
        <v>31</v>
      </c>
      <c r="C520" s="3" t="str">
        <f>VLOOKUP(B520,Dados!$A$3:$B$10,2,FALSE)</f>
        <v>Time 3</v>
      </c>
      <c r="D520" s="2" t="s">
        <v>22</v>
      </c>
      <c r="E520" s="2" t="s">
        <v>19</v>
      </c>
      <c r="F520" s="4" t="s">
        <v>772</v>
      </c>
      <c r="G520" s="5" t="str">
        <f t="shared" si="12"/>
        <v>77110853140</v>
      </c>
      <c r="H520" s="6">
        <v>2793</v>
      </c>
      <c r="I520" s="6">
        <v>0</v>
      </c>
      <c r="J520" s="7">
        <f t="shared" si="13"/>
        <v>2793</v>
      </c>
      <c r="K520" s="7">
        <f t="shared" si="14"/>
        <v>837.9</v>
      </c>
      <c r="L520" s="7">
        <f t="shared" si="15"/>
        <v>1</v>
      </c>
      <c r="M520" s="7">
        <f>IFERROR(VLOOKUP(G520,'Base de faturamento'!A:C,2,FALSE),0)</f>
        <v>2793</v>
      </c>
      <c r="N520" s="8">
        <f>IFERROR(VLOOKUP(G520,'Base de faturamento'!A:C,3,FALSE),0)</f>
        <v>44739</v>
      </c>
      <c r="O520" s="8">
        <f t="shared" si="16"/>
        <v>44743</v>
      </c>
      <c r="P520" s="8">
        <f t="shared" si="17"/>
        <v>44743</v>
      </c>
    </row>
    <row r="521" spans="1:16" ht="15" x14ac:dyDescent="0.25">
      <c r="A521" s="2" t="s">
        <v>773</v>
      </c>
      <c r="B521" s="2" t="s">
        <v>27</v>
      </c>
      <c r="C521" s="3" t="str">
        <f>VLOOKUP(B521,Dados!$A$3:$B$10,2,FALSE)</f>
        <v>Time 2</v>
      </c>
      <c r="D521" s="2" t="s">
        <v>22</v>
      </c>
      <c r="E521" s="2" t="s">
        <v>25</v>
      </c>
      <c r="F521" s="4" t="s">
        <v>774</v>
      </c>
      <c r="G521" s="5" t="str">
        <f t="shared" si="12"/>
        <v>77352762084</v>
      </c>
      <c r="H521" s="6">
        <v>6600</v>
      </c>
      <c r="I521" s="6">
        <v>4573</v>
      </c>
      <c r="J521" s="7">
        <f t="shared" si="13"/>
        <v>2027</v>
      </c>
      <c r="K521" s="7">
        <f t="shared" si="14"/>
        <v>0</v>
      </c>
      <c r="L521" s="7">
        <f t="shared" si="15"/>
        <v>0</v>
      </c>
      <c r="M521" s="7">
        <f>IFERROR(VLOOKUP(G521,'Base de faturamento'!A:C,2,FALSE),0)</f>
        <v>0</v>
      </c>
      <c r="N521" s="8">
        <f>IFERROR(VLOOKUP(G521,'Base de faturamento'!A:C,3,FALSE),0)</f>
        <v>0</v>
      </c>
      <c r="O521" s="8">
        <f t="shared" si="16"/>
        <v>32</v>
      </c>
      <c r="P521" s="9" t="b">
        <f t="shared" si="17"/>
        <v>0</v>
      </c>
    </row>
    <row r="522" spans="1:16" ht="15" x14ac:dyDescent="0.25">
      <c r="A522" s="2" t="s">
        <v>775</v>
      </c>
      <c r="B522" s="2" t="s">
        <v>33</v>
      </c>
      <c r="C522" s="3" t="str">
        <f>VLOOKUP(B522,Dados!$A$3:$B$10,2,FALSE)</f>
        <v>Time 1</v>
      </c>
      <c r="D522" s="2" t="s">
        <v>22</v>
      </c>
      <c r="E522" s="2" t="s">
        <v>19</v>
      </c>
      <c r="F522" s="4" t="s">
        <v>776</v>
      </c>
      <c r="G522" s="5" t="str">
        <f t="shared" si="12"/>
        <v>78108343280</v>
      </c>
      <c r="H522" s="6">
        <v>3598</v>
      </c>
      <c r="I522" s="6">
        <v>0</v>
      </c>
      <c r="J522" s="7">
        <f t="shared" si="13"/>
        <v>3598</v>
      </c>
      <c r="K522" s="7">
        <f t="shared" si="14"/>
        <v>1079.3999999999999</v>
      </c>
      <c r="L522" s="7">
        <f t="shared" si="15"/>
        <v>1</v>
      </c>
      <c r="M522" s="7">
        <f>IFERROR(VLOOKUP(G522,'Base de faturamento'!A:C,2,FALSE),0)</f>
        <v>3598</v>
      </c>
      <c r="N522" s="8">
        <f>IFERROR(VLOOKUP(G522,'Base de faturamento'!A:C,3,FALSE),0)</f>
        <v>44689</v>
      </c>
      <c r="O522" s="8">
        <f t="shared" si="16"/>
        <v>44696</v>
      </c>
      <c r="P522" s="8">
        <f t="shared" si="17"/>
        <v>44713</v>
      </c>
    </row>
    <row r="523" spans="1:16" ht="15" x14ac:dyDescent="0.25">
      <c r="A523" s="2" t="s">
        <v>777</v>
      </c>
      <c r="B523" s="2" t="s">
        <v>31</v>
      </c>
      <c r="C523" s="3" t="str">
        <f>VLOOKUP(B523,Dados!$A$3:$B$10,2,FALSE)</f>
        <v>Time 3</v>
      </c>
      <c r="D523" s="2" t="s">
        <v>22</v>
      </c>
      <c r="E523" s="2" t="s">
        <v>19</v>
      </c>
      <c r="F523" s="4" t="s">
        <v>778</v>
      </c>
      <c r="G523" s="5" t="str">
        <f t="shared" si="12"/>
        <v>78467592326</v>
      </c>
      <c r="H523" s="6">
        <v>4337</v>
      </c>
      <c r="I523" s="6">
        <v>0</v>
      </c>
      <c r="J523" s="7">
        <f t="shared" si="13"/>
        <v>4337</v>
      </c>
      <c r="K523" s="7">
        <f t="shared" si="14"/>
        <v>1301.0999999999999</v>
      </c>
      <c r="L523" s="7">
        <f t="shared" si="15"/>
        <v>1</v>
      </c>
      <c r="M523" s="7">
        <f>IFERROR(VLOOKUP(G523,'Base de faturamento'!A:C,2,FALSE),0)</f>
        <v>4337</v>
      </c>
      <c r="N523" s="8">
        <f>IFERROR(VLOOKUP(G523,'Base de faturamento'!A:C,3,FALSE),0)</f>
        <v>44642</v>
      </c>
      <c r="O523" s="8">
        <f t="shared" si="16"/>
        <v>44652</v>
      </c>
      <c r="P523" s="8">
        <f t="shared" si="17"/>
        <v>44652</v>
      </c>
    </row>
    <row r="524" spans="1:16" ht="15" x14ac:dyDescent="0.25">
      <c r="A524" s="2" t="s">
        <v>779</v>
      </c>
      <c r="B524" s="2" t="s">
        <v>24</v>
      </c>
      <c r="C524" s="3" t="str">
        <f>VLOOKUP(B524,Dados!$A$3:$B$10,2,FALSE)</f>
        <v>Time 2</v>
      </c>
      <c r="D524" s="2" t="s">
        <v>18</v>
      </c>
      <c r="E524" s="2" t="s">
        <v>25</v>
      </c>
      <c r="F524" s="4" t="s">
        <v>780</v>
      </c>
      <c r="G524" s="5" t="str">
        <f t="shared" si="12"/>
        <v>78791113736</v>
      </c>
      <c r="H524" s="6">
        <v>7611</v>
      </c>
      <c r="I524" s="6">
        <v>6400</v>
      </c>
      <c r="J524" s="7">
        <f t="shared" si="13"/>
        <v>1211</v>
      </c>
      <c r="K524" s="7">
        <f t="shared" si="14"/>
        <v>242.20000000000002</v>
      </c>
      <c r="L524" s="7">
        <f t="shared" si="15"/>
        <v>1</v>
      </c>
      <c r="M524" s="7">
        <f>IFERROR(VLOOKUP(G524,'Base de faturamento'!A:C,2,FALSE),0)</f>
        <v>7611</v>
      </c>
      <c r="N524" s="8">
        <f>IFERROR(VLOOKUP(G524,'Base de faturamento'!A:C,3,FALSE),0)</f>
        <v>44678</v>
      </c>
      <c r="O524" s="8">
        <f t="shared" si="16"/>
        <v>44682</v>
      </c>
      <c r="P524" s="8">
        <f t="shared" si="17"/>
        <v>44682</v>
      </c>
    </row>
    <row r="525" spans="1:16" ht="15" x14ac:dyDescent="0.25">
      <c r="A525" s="2" t="s">
        <v>781</v>
      </c>
      <c r="B525" s="2" t="s">
        <v>31</v>
      </c>
      <c r="C525" s="3" t="str">
        <f>VLOOKUP(B525,Dados!$A$3:$B$10,2,FALSE)</f>
        <v>Time 3</v>
      </c>
      <c r="D525" s="2" t="s">
        <v>22</v>
      </c>
      <c r="E525" s="2" t="s">
        <v>25</v>
      </c>
      <c r="F525" s="4" t="s">
        <v>782</v>
      </c>
      <c r="G525" s="5" t="str">
        <f t="shared" si="12"/>
        <v>79074507195</v>
      </c>
      <c r="H525" s="6">
        <v>9313</v>
      </c>
      <c r="I525" s="6">
        <v>4829</v>
      </c>
      <c r="J525" s="7">
        <f t="shared" si="13"/>
        <v>4484</v>
      </c>
      <c r="K525" s="7">
        <f t="shared" si="14"/>
        <v>0</v>
      </c>
      <c r="L525" s="7">
        <f t="shared" si="15"/>
        <v>0</v>
      </c>
      <c r="M525" s="7">
        <f>IFERROR(VLOOKUP(G525,'Base de faturamento'!A:C,2,FALSE),0)</f>
        <v>0</v>
      </c>
      <c r="N525" s="8">
        <f>IFERROR(VLOOKUP(G525,'Base de faturamento'!A:C,3,FALSE),0)</f>
        <v>0</v>
      </c>
      <c r="O525" s="8">
        <f t="shared" si="16"/>
        <v>32</v>
      </c>
      <c r="P525" s="9" t="b">
        <f t="shared" si="17"/>
        <v>0</v>
      </c>
    </row>
    <row r="526" spans="1:16" ht="15" x14ac:dyDescent="0.25">
      <c r="A526" s="2" t="s">
        <v>783</v>
      </c>
      <c r="B526" s="2" t="s">
        <v>24</v>
      </c>
      <c r="C526" s="3" t="str">
        <f>VLOOKUP(B526,Dados!$A$3:$B$10,2,FALSE)</f>
        <v>Time 2</v>
      </c>
      <c r="D526" s="2" t="s">
        <v>22</v>
      </c>
      <c r="E526" s="2" t="s">
        <v>25</v>
      </c>
      <c r="F526" s="4" t="s">
        <v>784</v>
      </c>
      <c r="G526" s="5" t="str">
        <f t="shared" si="12"/>
        <v>79777540223</v>
      </c>
      <c r="H526" s="6">
        <v>3111</v>
      </c>
      <c r="I526" s="6">
        <v>1307</v>
      </c>
      <c r="J526" s="7">
        <f t="shared" si="13"/>
        <v>1804</v>
      </c>
      <c r="K526" s="7">
        <f t="shared" si="14"/>
        <v>541.19999999999993</v>
      </c>
      <c r="L526" s="7">
        <f t="shared" si="15"/>
        <v>1</v>
      </c>
      <c r="M526" s="7">
        <f>IFERROR(VLOOKUP(G526,'Base de faturamento'!A:C,2,FALSE),0)</f>
        <v>3111</v>
      </c>
      <c r="N526" s="8">
        <f>IFERROR(VLOOKUP(G526,'Base de faturamento'!A:C,3,FALSE),0)</f>
        <v>44679</v>
      </c>
      <c r="O526" s="8">
        <f t="shared" si="16"/>
        <v>44682</v>
      </c>
      <c r="P526" s="8">
        <f t="shared" si="17"/>
        <v>44682</v>
      </c>
    </row>
    <row r="527" spans="1:16" ht="15" x14ac:dyDescent="0.25">
      <c r="A527" s="2" t="s">
        <v>785</v>
      </c>
      <c r="B527" s="2" t="s">
        <v>24</v>
      </c>
      <c r="C527" s="3" t="str">
        <f>VLOOKUP(B527,Dados!$A$3:$B$10,2,FALSE)</f>
        <v>Time 2</v>
      </c>
      <c r="D527" s="2" t="s">
        <v>18</v>
      </c>
      <c r="E527" s="2" t="s">
        <v>25</v>
      </c>
      <c r="F527" s="4" t="s">
        <v>786</v>
      </c>
      <c r="G527" s="5" t="str">
        <f t="shared" si="12"/>
        <v>80097557058</v>
      </c>
      <c r="H527" s="6">
        <v>9999</v>
      </c>
      <c r="I527" s="6">
        <v>2134</v>
      </c>
      <c r="J527" s="7">
        <f t="shared" si="13"/>
        <v>7865</v>
      </c>
      <c r="K527" s="7">
        <f t="shared" si="14"/>
        <v>1573</v>
      </c>
      <c r="L527" s="7">
        <f t="shared" si="15"/>
        <v>1</v>
      </c>
      <c r="M527" s="7">
        <f>IFERROR(VLOOKUP(G527,'Base de faturamento'!A:C,2,FALSE),0)</f>
        <v>9999</v>
      </c>
      <c r="N527" s="8">
        <f>IFERROR(VLOOKUP(G527,'Base de faturamento'!A:C,3,FALSE),0)</f>
        <v>44631</v>
      </c>
      <c r="O527" s="8">
        <f t="shared" si="16"/>
        <v>44652</v>
      </c>
      <c r="P527" s="8">
        <f t="shared" si="17"/>
        <v>44652</v>
      </c>
    </row>
    <row r="528" spans="1:16" ht="15" x14ac:dyDescent="0.25">
      <c r="A528" s="2" t="s">
        <v>787</v>
      </c>
      <c r="B528" s="2" t="s">
        <v>21</v>
      </c>
      <c r="C528" s="3" t="str">
        <f>VLOOKUP(B528,Dados!$A$3:$B$10,2,FALSE)</f>
        <v>Time 1</v>
      </c>
      <c r="D528" s="2" t="s">
        <v>18</v>
      </c>
      <c r="E528" s="2" t="s">
        <v>19</v>
      </c>
      <c r="F528" s="4" t="s">
        <v>788</v>
      </c>
      <c r="G528" s="5" t="str">
        <f t="shared" si="12"/>
        <v>80793858108</v>
      </c>
      <c r="H528" s="6">
        <v>1876</v>
      </c>
      <c r="I528" s="6">
        <v>0</v>
      </c>
      <c r="J528" s="7">
        <f t="shared" si="13"/>
        <v>1876</v>
      </c>
      <c r="K528" s="7">
        <f t="shared" si="14"/>
        <v>375.20000000000005</v>
      </c>
      <c r="L528" s="7">
        <f t="shared" si="15"/>
        <v>1</v>
      </c>
      <c r="M528" s="7">
        <f>IFERROR(VLOOKUP(G528,'Base de faturamento'!A:C,2,FALSE),0)</f>
        <v>1876</v>
      </c>
      <c r="N528" s="8">
        <f>IFERROR(VLOOKUP(G528,'Base de faturamento'!A:C,3,FALSE),0)</f>
        <v>44680</v>
      </c>
      <c r="O528" s="8">
        <f t="shared" si="16"/>
        <v>44666</v>
      </c>
      <c r="P528" s="8">
        <f t="shared" si="17"/>
        <v>44682</v>
      </c>
    </row>
    <row r="529" spans="1:16" ht="15" x14ac:dyDescent="0.25">
      <c r="A529" s="2" t="s">
        <v>789</v>
      </c>
      <c r="B529" s="2" t="s">
        <v>36</v>
      </c>
      <c r="C529" s="3" t="str">
        <f>VLOOKUP(B529,Dados!$A$3:$B$10,2,FALSE)</f>
        <v>Time 1</v>
      </c>
      <c r="D529" s="2" t="s">
        <v>18</v>
      </c>
      <c r="E529" s="2" t="s">
        <v>19</v>
      </c>
      <c r="F529" s="4" t="s">
        <v>790</v>
      </c>
      <c r="G529" s="5" t="str">
        <f t="shared" si="12"/>
        <v>81171000762</v>
      </c>
      <c r="H529" s="6">
        <v>1650</v>
      </c>
      <c r="I529" s="6">
        <v>0</v>
      </c>
      <c r="J529" s="7">
        <f t="shared" si="13"/>
        <v>1650</v>
      </c>
      <c r="K529" s="7">
        <f t="shared" si="14"/>
        <v>330</v>
      </c>
      <c r="L529" s="7">
        <f t="shared" si="15"/>
        <v>1</v>
      </c>
      <c r="M529" s="7">
        <f>IFERROR(VLOOKUP(G529,'Base de faturamento'!A:C,2,FALSE),0)</f>
        <v>1650</v>
      </c>
      <c r="N529" s="8">
        <f>IFERROR(VLOOKUP(G529,'Base de faturamento'!A:C,3,FALSE),0)</f>
        <v>44711</v>
      </c>
      <c r="O529" s="8">
        <f t="shared" si="16"/>
        <v>44696</v>
      </c>
      <c r="P529" s="8">
        <f t="shared" si="17"/>
        <v>44713</v>
      </c>
    </row>
    <row r="530" spans="1:16" ht="15" x14ac:dyDescent="0.25">
      <c r="A530" s="2" t="s">
        <v>791</v>
      </c>
      <c r="B530" s="2" t="s">
        <v>27</v>
      </c>
      <c r="C530" s="3" t="str">
        <f>VLOOKUP(B530,Dados!$A$3:$B$10,2,FALSE)</f>
        <v>Time 2</v>
      </c>
      <c r="D530" s="2" t="s">
        <v>22</v>
      </c>
      <c r="E530" s="2" t="s">
        <v>25</v>
      </c>
      <c r="F530" s="4" t="s">
        <v>792</v>
      </c>
      <c r="G530" s="5" t="str">
        <f t="shared" si="12"/>
        <v>81389917548</v>
      </c>
      <c r="H530" s="6">
        <v>4504</v>
      </c>
      <c r="I530" s="6">
        <v>6633</v>
      </c>
      <c r="J530" s="7">
        <f t="shared" si="13"/>
        <v>0</v>
      </c>
      <c r="K530" s="7">
        <f t="shared" si="14"/>
        <v>0</v>
      </c>
      <c r="L530" s="7">
        <f t="shared" si="15"/>
        <v>0</v>
      </c>
      <c r="M530" s="7">
        <f>IFERROR(VLOOKUP(G530,'Base de faturamento'!A:C,2,FALSE),0)</f>
        <v>0</v>
      </c>
      <c r="N530" s="8">
        <f>IFERROR(VLOOKUP(G530,'Base de faturamento'!A:C,3,FALSE),0)</f>
        <v>0</v>
      </c>
      <c r="O530" s="8">
        <f t="shared" si="16"/>
        <v>32</v>
      </c>
      <c r="P530" s="9" t="b">
        <f t="shared" si="17"/>
        <v>0</v>
      </c>
    </row>
    <row r="531" spans="1:16" ht="15" x14ac:dyDescent="0.25">
      <c r="A531" s="2" t="s">
        <v>793</v>
      </c>
      <c r="B531" s="2" t="s">
        <v>36</v>
      </c>
      <c r="C531" s="3" t="str">
        <f>VLOOKUP(B531,Dados!$A$3:$B$10,2,FALSE)</f>
        <v>Time 1</v>
      </c>
      <c r="D531" s="2" t="s">
        <v>18</v>
      </c>
      <c r="E531" s="2" t="s">
        <v>19</v>
      </c>
      <c r="F531" s="4" t="s">
        <v>794</v>
      </c>
      <c r="G531" s="5" t="str">
        <f t="shared" si="12"/>
        <v>81451422618</v>
      </c>
      <c r="H531" s="6">
        <v>2669</v>
      </c>
      <c r="I531" s="6">
        <v>0</v>
      </c>
      <c r="J531" s="7">
        <f t="shared" si="13"/>
        <v>2669</v>
      </c>
      <c r="K531" s="7">
        <f t="shared" si="14"/>
        <v>533.80000000000007</v>
      </c>
      <c r="L531" s="7">
        <f t="shared" si="15"/>
        <v>1</v>
      </c>
      <c r="M531" s="7">
        <f>IFERROR(VLOOKUP(G531,'Base de faturamento'!A:C,2,FALSE),0)</f>
        <v>2669</v>
      </c>
      <c r="N531" s="8">
        <f>IFERROR(VLOOKUP(G531,'Base de faturamento'!A:C,3,FALSE),0)</f>
        <v>44651</v>
      </c>
      <c r="O531" s="8">
        <f t="shared" si="16"/>
        <v>44635</v>
      </c>
      <c r="P531" s="8">
        <f t="shared" si="17"/>
        <v>44652</v>
      </c>
    </row>
    <row r="532" spans="1:16" ht="15" x14ac:dyDescent="0.25">
      <c r="A532" s="2" t="s">
        <v>795</v>
      </c>
      <c r="B532" s="2" t="s">
        <v>29</v>
      </c>
      <c r="C532" s="3" t="str">
        <f>VLOOKUP(B532,Dados!$A$3:$B$10,2,FALSE)</f>
        <v>Time 2</v>
      </c>
      <c r="D532" s="2" t="s">
        <v>18</v>
      </c>
      <c r="E532" s="2" t="s">
        <v>25</v>
      </c>
      <c r="F532" s="4" t="s">
        <v>796</v>
      </c>
      <c r="G532" s="5" t="str">
        <f t="shared" si="12"/>
        <v>81476246055</v>
      </c>
      <c r="H532" s="6">
        <v>2802</v>
      </c>
      <c r="I532" s="6">
        <v>4038</v>
      </c>
      <c r="J532" s="7">
        <f t="shared" si="13"/>
        <v>0</v>
      </c>
      <c r="K532" s="7">
        <f t="shared" si="14"/>
        <v>0</v>
      </c>
      <c r="L532" s="7">
        <f t="shared" si="15"/>
        <v>1</v>
      </c>
      <c r="M532" s="7">
        <f>IFERROR(VLOOKUP(G532,'Base de faturamento'!A:C,2,FALSE),0)</f>
        <v>2802</v>
      </c>
      <c r="N532" s="8">
        <f>IFERROR(VLOOKUP(G532,'Base de faturamento'!A:C,3,FALSE),0)</f>
        <v>44636</v>
      </c>
      <c r="O532" s="8">
        <f t="shared" si="16"/>
        <v>44652</v>
      </c>
      <c r="P532" s="8">
        <f t="shared" si="17"/>
        <v>44652</v>
      </c>
    </row>
    <row r="533" spans="1:16" ht="15" x14ac:dyDescent="0.25">
      <c r="A533" s="2" t="s">
        <v>797</v>
      </c>
      <c r="B533" s="2" t="s">
        <v>17</v>
      </c>
      <c r="C533" s="3" t="str">
        <f>VLOOKUP(B533,Dados!$A$3:$B$10,2,FALSE)</f>
        <v>Time 3</v>
      </c>
      <c r="D533" s="2" t="s">
        <v>18</v>
      </c>
      <c r="E533" s="2" t="s">
        <v>19</v>
      </c>
      <c r="F533" s="4" t="s">
        <v>798</v>
      </c>
      <c r="G533" s="5" t="str">
        <f t="shared" si="12"/>
        <v>81481797750</v>
      </c>
      <c r="H533" s="6">
        <v>7826</v>
      </c>
      <c r="I533" s="6">
        <v>0</v>
      </c>
      <c r="J533" s="7">
        <f t="shared" si="13"/>
        <v>7826</v>
      </c>
      <c r="K533" s="7">
        <f t="shared" si="14"/>
        <v>1565.2</v>
      </c>
      <c r="L533" s="7">
        <f t="shared" si="15"/>
        <v>1</v>
      </c>
      <c r="M533" s="7">
        <f>IFERROR(VLOOKUP(G533,'Base de faturamento'!A:C,2,FALSE),0)</f>
        <v>7826</v>
      </c>
      <c r="N533" s="8">
        <f>IFERROR(VLOOKUP(G533,'Base de faturamento'!A:C,3,FALSE),0)</f>
        <v>44720</v>
      </c>
      <c r="O533" s="8">
        <f t="shared" si="16"/>
        <v>44743</v>
      </c>
      <c r="P533" s="8">
        <f t="shared" si="17"/>
        <v>44743</v>
      </c>
    </row>
    <row r="534" spans="1:16" ht="15" x14ac:dyDescent="0.25">
      <c r="A534" s="2" t="s">
        <v>799</v>
      </c>
      <c r="B534" s="2" t="s">
        <v>31</v>
      </c>
      <c r="C534" s="3" t="str">
        <f>VLOOKUP(B534,Dados!$A$3:$B$10,2,FALSE)</f>
        <v>Time 3</v>
      </c>
      <c r="D534" s="2" t="s">
        <v>22</v>
      </c>
      <c r="E534" s="2" t="s">
        <v>25</v>
      </c>
      <c r="F534" s="4" t="s">
        <v>800</v>
      </c>
      <c r="G534" s="5" t="str">
        <f t="shared" si="12"/>
        <v>82387549871</v>
      </c>
      <c r="H534" s="6">
        <v>9325</v>
      </c>
      <c r="I534" s="6">
        <v>8252</v>
      </c>
      <c r="J534" s="7">
        <f t="shared" si="13"/>
        <v>1073</v>
      </c>
      <c r="K534" s="7">
        <f t="shared" si="14"/>
        <v>0</v>
      </c>
      <c r="L534" s="7">
        <f t="shared" si="15"/>
        <v>0</v>
      </c>
      <c r="M534" s="7">
        <f>IFERROR(VLOOKUP(G534,'Base de faturamento'!A:C,2,FALSE),0)</f>
        <v>0</v>
      </c>
      <c r="N534" s="8">
        <f>IFERROR(VLOOKUP(G534,'Base de faturamento'!A:C,3,FALSE),0)</f>
        <v>0</v>
      </c>
      <c r="O534" s="8">
        <f t="shared" si="16"/>
        <v>32</v>
      </c>
      <c r="P534" s="9" t="b">
        <f t="shared" si="17"/>
        <v>0</v>
      </c>
    </row>
    <row r="535" spans="1:16" ht="15" x14ac:dyDescent="0.25">
      <c r="A535" s="2" t="s">
        <v>801</v>
      </c>
      <c r="B535" s="2" t="s">
        <v>36</v>
      </c>
      <c r="C535" s="3" t="str">
        <f>VLOOKUP(B535,Dados!$A$3:$B$10,2,FALSE)</f>
        <v>Time 1</v>
      </c>
      <c r="D535" s="2" t="s">
        <v>22</v>
      </c>
      <c r="E535" s="2" t="s">
        <v>19</v>
      </c>
      <c r="F535" s="4" t="s">
        <v>802</v>
      </c>
      <c r="G535" s="5" t="str">
        <f t="shared" si="12"/>
        <v>82865852241</v>
      </c>
      <c r="H535" s="6">
        <v>2991</v>
      </c>
      <c r="I535" s="6">
        <v>0</v>
      </c>
      <c r="J535" s="7">
        <f t="shared" si="13"/>
        <v>2991</v>
      </c>
      <c r="K535" s="7">
        <f t="shared" si="14"/>
        <v>897.3</v>
      </c>
      <c r="L535" s="7">
        <f t="shared" si="15"/>
        <v>1</v>
      </c>
      <c r="M535" s="7">
        <f>IFERROR(VLOOKUP(G535,'Base de faturamento'!A:C,2,FALSE),0)</f>
        <v>2991</v>
      </c>
      <c r="N535" s="8">
        <f>IFERROR(VLOOKUP(G535,'Base de faturamento'!A:C,3,FALSE),0)</f>
        <v>44679</v>
      </c>
      <c r="O535" s="8">
        <f t="shared" si="16"/>
        <v>44666</v>
      </c>
      <c r="P535" s="8">
        <f t="shared" si="17"/>
        <v>44682</v>
      </c>
    </row>
    <row r="536" spans="1:16" ht="15" x14ac:dyDescent="0.25">
      <c r="A536" s="2" t="s">
        <v>803</v>
      </c>
      <c r="B536" s="2" t="s">
        <v>27</v>
      </c>
      <c r="C536" s="3" t="str">
        <f>VLOOKUP(B536,Dados!$A$3:$B$10,2,FALSE)</f>
        <v>Time 2</v>
      </c>
      <c r="D536" s="2" t="s">
        <v>22</v>
      </c>
      <c r="E536" s="2" t="s">
        <v>25</v>
      </c>
      <c r="F536" s="4" t="s">
        <v>804</v>
      </c>
      <c r="G536" s="5" t="str">
        <f t="shared" si="12"/>
        <v>83250980294</v>
      </c>
      <c r="H536" s="6">
        <v>7819</v>
      </c>
      <c r="I536" s="6">
        <v>1004</v>
      </c>
      <c r="J536" s="7">
        <f t="shared" si="13"/>
        <v>6815</v>
      </c>
      <c r="K536" s="7">
        <f t="shared" si="14"/>
        <v>2044.5</v>
      </c>
      <c r="L536" s="7">
        <f t="shared" si="15"/>
        <v>1</v>
      </c>
      <c r="M536" s="7">
        <f>IFERROR(VLOOKUP(G536,'Base de faturamento'!A:C,2,FALSE),0)</f>
        <v>7819</v>
      </c>
      <c r="N536" s="8">
        <f>IFERROR(VLOOKUP(G536,'Base de faturamento'!A:C,3,FALSE),0)</f>
        <v>44737</v>
      </c>
      <c r="O536" s="8">
        <f t="shared" si="16"/>
        <v>44743</v>
      </c>
      <c r="P536" s="8">
        <f t="shared" si="17"/>
        <v>44743</v>
      </c>
    </row>
    <row r="537" spans="1:16" ht="15" x14ac:dyDescent="0.25">
      <c r="A537" s="2" t="s">
        <v>805</v>
      </c>
      <c r="B537" s="2" t="s">
        <v>27</v>
      </c>
      <c r="C537" s="3" t="str">
        <f>VLOOKUP(B537,Dados!$A$3:$B$10,2,FALSE)</f>
        <v>Time 2</v>
      </c>
      <c r="D537" s="2" t="s">
        <v>22</v>
      </c>
      <c r="E537" s="2" t="s">
        <v>25</v>
      </c>
      <c r="F537" s="4" t="s">
        <v>806</v>
      </c>
      <c r="G537" s="5" t="str">
        <f t="shared" si="12"/>
        <v>83969722144</v>
      </c>
      <c r="H537" s="6">
        <v>6997</v>
      </c>
      <c r="I537" s="6">
        <v>2338</v>
      </c>
      <c r="J537" s="7">
        <f t="shared" si="13"/>
        <v>4659</v>
      </c>
      <c r="K537" s="7">
        <f t="shared" si="14"/>
        <v>1397.7</v>
      </c>
      <c r="L537" s="7">
        <f t="shared" si="15"/>
        <v>1</v>
      </c>
      <c r="M537" s="7">
        <f>IFERROR(VLOOKUP(G537,'Base de faturamento'!A:C,2,FALSE),0)</f>
        <v>6997</v>
      </c>
      <c r="N537" s="8">
        <f>IFERROR(VLOOKUP(G537,'Base de faturamento'!A:C,3,FALSE),0)</f>
        <v>44671</v>
      </c>
      <c r="O537" s="8">
        <f t="shared" si="16"/>
        <v>44682</v>
      </c>
      <c r="P537" s="8">
        <f t="shared" si="17"/>
        <v>44682</v>
      </c>
    </row>
    <row r="538" spans="1:16" ht="15" x14ac:dyDescent="0.25">
      <c r="A538" s="2" t="s">
        <v>807</v>
      </c>
      <c r="B538" s="2" t="s">
        <v>36</v>
      </c>
      <c r="C538" s="3" t="str">
        <f>VLOOKUP(B538,Dados!$A$3:$B$10,2,FALSE)</f>
        <v>Time 1</v>
      </c>
      <c r="D538" s="2" t="s">
        <v>22</v>
      </c>
      <c r="E538" s="2" t="s">
        <v>25</v>
      </c>
      <c r="F538" s="4" t="s">
        <v>808</v>
      </c>
      <c r="G538" s="5" t="str">
        <f t="shared" si="12"/>
        <v>84847358619</v>
      </c>
      <c r="H538" s="6">
        <v>6738</v>
      </c>
      <c r="I538" s="6">
        <v>7142</v>
      </c>
      <c r="J538" s="7">
        <f t="shared" si="13"/>
        <v>0</v>
      </c>
      <c r="K538" s="7">
        <f t="shared" si="14"/>
        <v>0</v>
      </c>
      <c r="L538" s="7">
        <f t="shared" si="15"/>
        <v>1</v>
      </c>
      <c r="M538" s="7">
        <f>IFERROR(VLOOKUP(G538,'Base de faturamento'!A:C,2,FALSE),0)</f>
        <v>6738</v>
      </c>
      <c r="N538" s="8">
        <f>IFERROR(VLOOKUP(G538,'Base de faturamento'!A:C,3,FALSE),0)</f>
        <v>44669</v>
      </c>
      <c r="O538" s="8">
        <f t="shared" si="16"/>
        <v>44666</v>
      </c>
      <c r="P538" s="8">
        <f t="shared" si="17"/>
        <v>44682</v>
      </c>
    </row>
    <row r="539" spans="1:16" ht="15" x14ac:dyDescent="0.25">
      <c r="A539" s="2" t="s">
        <v>809</v>
      </c>
      <c r="B539" s="2" t="s">
        <v>36</v>
      </c>
      <c r="C539" s="3" t="str">
        <f>VLOOKUP(B539,Dados!$A$3:$B$10,2,FALSE)</f>
        <v>Time 1</v>
      </c>
      <c r="D539" s="2" t="s">
        <v>22</v>
      </c>
      <c r="E539" s="2" t="s">
        <v>25</v>
      </c>
      <c r="F539" s="4" t="s">
        <v>810</v>
      </c>
      <c r="G539" s="5" t="str">
        <f t="shared" si="12"/>
        <v>84920458313</v>
      </c>
      <c r="H539" s="6">
        <v>2862</v>
      </c>
      <c r="I539" s="6">
        <v>6363</v>
      </c>
      <c r="J539" s="7">
        <f t="shared" si="13"/>
        <v>0</v>
      </c>
      <c r="K539" s="7">
        <f t="shared" si="14"/>
        <v>0</v>
      </c>
      <c r="L539" s="7">
        <f t="shared" si="15"/>
        <v>1</v>
      </c>
      <c r="M539" s="7">
        <f>IFERROR(VLOOKUP(G539,'Base de faturamento'!A:C,2,FALSE),0)</f>
        <v>2862</v>
      </c>
      <c r="N539" s="8">
        <f>IFERROR(VLOOKUP(G539,'Base de faturamento'!A:C,3,FALSE),0)</f>
        <v>44732</v>
      </c>
      <c r="O539" s="8">
        <f t="shared" si="16"/>
        <v>44727</v>
      </c>
      <c r="P539" s="8">
        <f t="shared" si="17"/>
        <v>44743</v>
      </c>
    </row>
    <row r="540" spans="1:16" ht="15" x14ac:dyDescent="0.25">
      <c r="A540" s="2" t="s">
        <v>811</v>
      </c>
      <c r="B540" s="2" t="s">
        <v>17</v>
      </c>
      <c r="C540" s="3" t="str">
        <f>VLOOKUP(B540,Dados!$A$3:$B$10,2,FALSE)</f>
        <v>Time 3</v>
      </c>
      <c r="D540" s="2" t="s">
        <v>22</v>
      </c>
      <c r="E540" s="2" t="s">
        <v>25</v>
      </c>
      <c r="F540" s="4" t="s">
        <v>812</v>
      </c>
      <c r="G540" s="5" t="str">
        <f t="shared" si="12"/>
        <v>84991013172</v>
      </c>
      <c r="H540" s="6">
        <v>2920</v>
      </c>
      <c r="I540" s="6">
        <v>4510</v>
      </c>
      <c r="J540" s="7">
        <f t="shared" si="13"/>
        <v>0</v>
      </c>
      <c r="K540" s="7">
        <f t="shared" si="14"/>
        <v>0</v>
      </c>
      <c r="L540" s="7">
        <f t="shared" si="15"/>
        <v>1</v>
      </c>
      <c r="M540" s="7">
        <f>IFERROR(VLOOKUP(G540,'Base de faturamento'!A:C,2,FALSE),0)</f>
        <v>2920</v>
      </c>
      <c r="N540" s="8">
        <f>IFERROR(VLOOKUP(G540,'Base de faturamento'!A:C,3,FALSE),0)</f>
        <v>44672</v>
      </c>
      <c r="O540" s="8">
        <f t="shared" si="16"/>
        <v>44682</v>
      </c>
      <c r="P540" s="8">
        <f t="shared" si="17"/>
        <v>44682</v>
      </c>
    </row>
    <row r="541" spans="1:16" ht="15" x14ac:dyDescent="0.25">
      <c r="A541" s="2" t="s">
        <v>813</v>
      </c>
      <c r="B541" s="2" t="s">
        <v>29</v>
      </c>
      <c r="C541" s="3" t="str">
        <f>VLOOKUP(B541,Dados!$A$3:$B$10,2,FALSE)</f>
        <v>Time 2</v>
      </c>
      <c r="D541" s="2" t="s">
        <v>18</v>
      </c>
      <c r="E541" s="2" t="s">
        <v>19</v>
      </c>
      <c r="F541" s="4" t="s">
        <v>814</v>
      </c>
      <c r="G541" s="5" t="str">
        <f t="shared" si="12"/>
        <v>85186383000</v>
      </c>
      <c r="H541" s="6">
        <v>9695</v>
      </c>
      <c r="I541" s="6">
        <v>0</v>
      </c>
      <c r="J541" s="7">
        <f t="shared" si="13"/>
        <v>9695</v>
      </c>
      <c r="K541" s="7">
        <f t="shared" si="14"/>
        <v>1939</v>
      </c>
      <c r="L541" s="7">
        <f t="shared" si="15"/>
        <v>1</v>
      </c>
      <c r="M541" s="7">
        <f>IFERROR(VLOOKUP(G541,'Base de faturamento'!A:C,2,FALSE),0)</f>
        <v>9695</v>
      </c>
      <c r="N541" s="8">
        <f>IFERROR(VLOOKUP(G541,'Base de faturamento'!A:C,3,FALSE),0)</f>
        <v>44743</v>
      </c>
      <c r="O541" s="8">
        <f t="shared" si="16"/>
        <v>44774</v>
      </c>
      <c r="P541" s="8">
        <f t="shared" si="17"/>
        <v>44774</v>
      </c>
    </row>
    <row r="542" spans="1:16" ht="15" x14ac:dyDescent="0.25">
      <c r="A542" s="2" t="s">
        <v>815</v>
      </c>
      <c r="B542" s="2" t="s">
        <v>27</v>
      </c>
      <c r="C542" s="3" t="str">
        <f>VLOOKUP(B542,Dados!$A$3:$B$10,2,FALSE)</f>
        <v>Time 2</v>
      </c>
      <c r="D542" s="2" t="s">
        <v>22</v>
      </c>
      <c r="E542" s="2" t="s">
        <v>19</v>
      </c>
      <c r="F542" s="4" t="s">
        <v>816</v>
      </c>
      <c r="G542" s="5" t="str">
        <f t="shared" si="12"/>
        <v>85988941340</v>
      </c>
      <c r="H542" s="6">
        <v>3519</v>
      </c>
      <c r="I542" s="6">
        <v>0</v>
      </c>
      <c r="J542" s="7">
        <f t="shared" si="13"/>
        <v>3519</v>
      </c>
      <c r="K542" s="7">
        <f t="shared" si="14"/>
        <v>1055.7</v>
      </c>
      <c r="L542" s="7">
        <f t="shared" si="15"/>
        <v>1</v>
      </c>
      <c r="M542" s="7">
        <f>IFERROR(VLOOKUP(G542,'Base de faturamento'!A:C,2,FALSE),0)</f>
        <v>3519</v>
      </c>
      <c r="N542" s="8">
        <f>IFERROR(VLOOKUP(G542,'Base de faturamento'!A:C,3,FALSE),0)</f>
        <v>44733</v>
      </c>
      <c r="O542" s="8">
        <f t="shared" si="16"/>
        <v>44743</v>
      </c>
      <c r="P542" s="8">
        <f t="shared" si="17"/>
        <v>44743</v>
      </c>
    </row>
    <row r="543" spans="1:16" ht="15" x14ac:dyDescent="0.25">
      <c r="A543" s="2" t="s">
        <v>817</v>
      </c>
      <c r="B543" s="2" t="s">
        <v>17</v>
      </c>
      <c r="C543" s="3" t="str">
        <f>VLOOKUP(B543,Dados!$A$3:$B$10,2,FALSE)</f>
        <v>Time 3</v>
      </c>
      <c r="D543" s="2" t="s">
        <v>18</v>
      </c>
      <c r="E543" s="2" t="s">
        <v>19</v>
      </c>
      <c r="F543" s="4" t="s">
        <v>818</v>
      </c>
      <c r="G543" s="5" t="str">
        <f t="shared" si="12"/>
        <v>86572169084</v>
      </c>
      <c r="H543" s="6">
        <v>3893</v>
      </c>
      <c r="I543" s="6">
        <v>0</v>
      </c>
      <c r="J543" s="7">
        <f t="shared" si="13"/>
        <v>3893</v>
      </c>
      <c r="K543" s="7">
        <f t="shared" si="14"/>
        <v>778.6</v>
      </c>
      <c r="L543" s="7">
        <f t="shared" si="15"/>
        <v>1</v>
      </c>
      <c r="M543" s="7">
        <f>IFERROR(VLOOKUP(G543,'Base de faturamento'!A:C,2,FALSE),0)</f>
        <v>3893</v>
      </c>
      <c r="N543" s="8">
        <f>IFERROR(VLOOKUP(G543,'Base de faturamento'!A:C,3,FALSE),0)</f>
        <v>44714</v>
      </c>
      <c r="O543" s="8">
        <f t="shared" si="16"/>
        <v>44743</v>
      </c>
      <c r="P543" s="8">
        <f t="shared" si="17"/>
        <v>44743</v>
      </c>
    </row>
    <row r="544" spans="1:16" ht="15" x14ac:dyDescent="0.25">
      <c r="A544" s="2" t="s">
        <v>819</v>
      </c>
      <c r="B544" s="2" t="s">
        <v>27</v>
      </c>
      <c r="C544" s="3" t="str">
        <f>VLOOKUP(B544,Dados!$A$3:$B$10,2,FALSE)</f>
        <v>Time 2</v>
      </c>
      <c r="D544" s="2" t="s">
        <v>18</v>
      </c>
      <c r="E544" s="2" t="s">
        <v>25</v>
      </c>
      <c r="F544" s="4" t="s">
        <v>820</v>
      </c>
      <c r="G544" s="5" t="str">
        <f t="shared" si="12"/>
        <v>86712397982</v>
      </c>
      <c r="H544" s="6">
        <v>4689</v>
      </c>
      <c r="I544" s="6">
        <v>5539</v>
      </c>
      <c r="J544" s="7">
        <f t="shared" si="13"/>
        <v>0</v>
      </c>
      <c r="K544" s="7">
        <f t="shared" si="14"/>
        <v>0</v>
      </c>
      <c r="L544" s="7">
        <f t="shared" si="15"/>
        <v>1</v>
      </c>
      <c r="M544" s="7">
        <f>IFERROR(VLOOKUP(G544,'Base de faturamento'!A:C,2,FALSE),0)</f>
        <v>4689</v>
      </c>
      <c r="N544" s="8">
        <f>IFERROR(VLOOKUP(G544,'Base de faturamento'!A:C,3,FALSE),0)</f>
        <v>44622</v>
      </c>
      <c r="O544" s="8">
        <f t="shared" si="16"/>
        <v>44652</v>
      </c>
      <c r="P544" s="8">
        <f t="shared" si="17"/>
        <v>44652</v>
      </c>
    </row>
    <row r="545" spans="1:16" ht="15" x14ac:dyDescent="0.25">
      <c r="A545" s="2" t="s">
        <v>821</v>
      </c>
      <c r="B545" s="2" t="s">
        <v>21</v>
      </c>
      <c r="C545" s="3" t="str">
        <f>VLOOKUP(B545,Dados!$A$3:$B$10,2,FALSE)</f>
        <v>Time 1</v>
      </c>
      <c r="D545" s="2" t="s">
        <v>18</v>
      </c>
      <c r="E545" s="2" t="s">
        <v>25</v>
      </c>
      <c r="F545" s="4" t="s">
        <v>822</v>
      </c>
      <c r="G545" s="5" t="str">
        <f t="shared" si="12"/>
        <v>86893864447</v>
      </c>
      <c r="H545" s="6">
        <v>1142</v>
      </c>
      <c r="I545" s="6">
        <v>3943</v>
      </c>
      <c r="J545" s="7">
        <f t="shared" si="13"/>
        <v>0</v>
      </c>
      <c r="K545" s="7">
        <f t="shared" si="14"/>
        <v>0</v>
      </c>
      <c r="L545" s="7">
        <f t="shared" si="15"/>
        <v>1</v>
      </c>
      <c r="M545" s="7">
        <f>IFERROR(VLOOKUP(G545,'Base de faturamento'!A:C,2,FALSE),0)</f>
        <v>1142</v>
      </c>
      <c r="N545" s="8">
        <f>IFERROR(VLOOKUP(G545,'Base de faturamento'!A:C,3,FALSE),0)</f>
        <v>44665</v>
      </c>
      <c r="O545" s="8">
        <f t="shared" si="16"/>
        <v>44666</v>
      </c>
      <c r="P545" s="8">
        <f t="shared" si="17"/>
        <v>44682</v>
      </c>
    </row>
    <row r="546" spans="1:16" ht="15" x14ac:dyDescent="0.25">
      <c r="A546" s="2" t="s">
        <v>823</v>
      </c>
      <c r="B546" s="2" t="s">
        <v>21</v>
      </c>
      <c r="C546" s="3" t="str">
        <f>VLOOKUP(B546,Dados!$A$3:$B$10,2,FALSE)</f>
        <v>Time 1</v>
      </c>
      <c r="D546" s="2" t="s">
        <v>18</v>
      </c>
      <c r="E546" s="2" t="s">
        <v>19</v>
      </c>
      <c r="F546" s="4" t="s">
        <v>824</v>
      </c>
      <c r="G546" s="5" t="str">
        <f t="shared" si="12"/>
        <v>87135790558</v>
      </c>
      <c r="H546" s="6">
        <v>9824</v>
      </c>
      <c r="I546" s="6">
        <v>0</v>
      </c>
      <c r="J546" s="7">
        <f t="shared" si="13"/>
        <v>9824</v>
      </c>
      <c r="K546" s="7">
        <f t="shared" si="14"/>
        <v>1964.8000000000002</v>
      </c>
      <c r="L546" s="7">
        <f t="shared" si="15"/>
        <v>1</v>
      </c>
      <c r="M546" s="7">
        <f>IFERROR(VLOOKUP(G546,'Base de faturamento'!A:C,2,FALSE),0)</f>
        <v>9824</v>
      </c>
      <c r="N546" s="8">
        <f>IFERROR(VLOOKUP(G546,'Base de faturamento'!A:C,3,FALSE),0)</f>
        <v>44743</v>
      </c>
      <c r="O546" s="8">
        <f t="shared" si="16"/>
        <v>44757</v>
      </c>
      <c r="P546" s="8">
        <f t="shared" si="17"/>
        <v>44774</v>
      </c>
    </row>
    <row r="547" spans="1:16" ht="15" x14ac:dyDescent="0.25">
      <c r="A547" s="2" t="s">
        <v>825</v>
      </c>
      <c r="B547" s="2" t="s">
        <v>17</v>
      </c>
      <c r="C547" s="3" t="str">
        <f>VLOOKUP(B547,Dados!$A$3:$B$10,2,FALSE)</f>
        <v>Time 3</v>
      </c>
      <c r="D547" s="2" t="s">
        <v>22</v>
      </c>
      <c r="E547" s="2" t="s">
        <v>19</v>
      </c>
      <c r="F547" s="4" t="s">
        <v>826</v>
      </c>
      <c r="G547" s="5" t="str">
        <f t="shared" si="12"/>
        <v>87191556981</v>
      </c>
      <c r="H547" s="6">
        <v>5926</v>
      </c>
      <c r="I547" s="6">
        <v>0</v>
      </c>
      <c r="J547" s="7">
        <f t="shared" si="13"/>
        <v>5926</v>
      </c>
      <c r="K547" s="7">
        <f t="shared" si="14"/>
        <v>1777.8</v>
      </c>
      <c r="L547" s="7">
        <f t="shared" si="15"/>
        <v>1</v>
      </c>
      <c r="M547" s="7">
        <f>IFERROR(VLOOKUP(G547,'Base de faturamento'!A:C,2,FALSE),0)</f>
        <v>5926</v>
      </c>
      <c r="N547" s="8">
        <f>IFERROR(VLOOKUP(G547,'Base de faturamento'!A:C,3,FALSE),0)</f>
        <v>44697</v>
      </c>
      <c r="O547" s="8">
        <f t="shared" si="16"/>
        <v>44713</v>
      </c>
      <c r="P547" s="8">
        <f t="shared" si="17"/>
        <v>44713</v>
      </c>
    </row>
    <row r="548" spans="1:16" ht="15" x14ac:dyDescent="0.25">
      <c r="A548" s="2" t="s">
        <v>827</v>
      </c>
      <c r="B548" s="2" t="s">
        <v>29</v>
      </c>
      <c r="C548" s="3" t="str">
        <f>VLOOKUP(B548,Dados!$A$3:$B$10,2,FALSE)</f>
        <v>Time 2</v>
      </c>
      <c r="D548" s="2" t="s">
        <v>22</v>
      </c>
      <c r="E548" s="2" t="s">
        <v>25</v>
      </c>
      <c r="F548" s="4" t="s">
        <v>828</v>
      </c>
      <c r="G548" s="5" t="str">
        <f t="shared" si="12"/>
        <v>87382062377</v>
      </c>
      <c r="H548" s="6">
        <v>1271</v>
      </c>
      <c r="I548" s="6">
        <v>1768</v>
      </c>
      <c r="J548" s="7">
        <f t="shared" si="13"/>
        <v>0</v>
      </c>
      <c r="K548" s="7">
        <f t="shared" si="14"/>
        <v>0</v>
      </c>
      <c r="L548" s="7">
        <f t="shared" si="15"/>
        <v>1</v>
      </c>
      <c r="M548" s="7">
        <f>IFERROR(VLOOKUP(G548,'Base de faturamento'!A:C,2,FALSE),0)</f>
        <v>1271</v>
      </c>
      <c r="N548" s="8">
        <f>IFERROR(VLOOKUP(G548,'Base de faturamento'!A:C,3,FALSE),0)</f>
        <v>44647</v>
      </c>
      <c r="O548" s="8">
        <f t="shared" si="16"/>
        <v>44652</v>
      </c>
      <c r="P548" s="8">
        <f t="shared" si="17"/>
        <v>44652</v>
      </c>
    </row>
    <row r="549" spans="1:16" ht="15" x14ac:dyDescent="0.25">
      <c r="A549" s="2" t="s">
        <v>829</v>
      </c>
      <c r="B549" s="2" t="s">
        <v>24</v>
      </c>
      <c r="C549" s="3" t="str">
        <f>VLOOKUP(B549,Dados!$A$3:$B$10,2,FALSE)</f>
        <v>Time 2</v>
      </c>
      <c r="D549" s="2" t="s">
        <v>18</v>
      </c>
      <c r="E549" s="2" t="s">
        <v>25</v>
      </c>
      <c r="F549" s="4" t="s">
        <v>830</v>
      </c>
      <c r="G549" s="5" t="str">
        <f t="shared" si="12"/>
        <v>87621103523</v>
      </c>
      <c r="H549" s="6">
        <v>1167</v>
      </c>
      <c r="I549" s="6">
        <v>1892</v>
      </c>
      <c r="J549" s="7">
        <f t="shared" si="13"/>
        <v>0</v>
      </c>
      <c r="K549" s="7">
        <f t="shared" si="14"/>
        <v>0</v>
      </c>
      <c r="L549" s="7">
        <f t="shared" si="15"/>
        <v>1</v>
      </c>
      <c r="M549" s="7">
        <f>IFERROR(VLOOKUP(G549,'Base de faturamento'!A:C,2,FALSE),0)</f>
        <v>1167</v>
      </c>
      <c r="N549" s="8">
        <f>IFERROR(VLOOKUP(G549,'Base de faturamento'!A:C,3,FALSE),0)</f>
        <v>44654</v>
      </c>
      <c r="O549" s="8">
        <f t="shared" si="16"/>
        <v>44682</v>
      </c>
      <c r="P549" s="8">
        <f t="shared" si="17"/>
        <v>44682</v>
      </c>
    </row>
    <row r="550" spans="1:16" ht="15" x14ac:dyDescent="0.25">
      <c r="A550" s="2" t="s">
        <v>831</v>
      </c>
      <c r="B550" s="2" t="s">
        <v>31</v>
      </c>
      <c r="C550" s="3" t="str">
        <f>VLOOKUP(B550,Dados!$A$3:$B$10,2,FALSE)</f>
        <v>Time 3</v>
      </c>
      <c r="D550" s="2" t="s">
        <v>22</v>
      </c>
      <c r="E550" s="2" t="s">
        <v>25</v>
      </c>
      <c r="F550" s="4" t="s">
        <v>832</v>
      </c>
      <c r="G550" s="5" t="str">
        <f t="shared" si="12"/>
        <v>87625979157</v>
      </c>
      <c r="H550" s="6">
        <v>3062</v>
      </c>
      <c r="I550" s="6">
        <v>4218</v>
      </c>
      <c r="J550" s="7">
        <f t="shared" si="13"/>
        <v>0</v>
      </c>
      <c r="K550" s="7">
        <f t="shared" si="14"/>
        <v>0</v>
      </c>
      <c r="L550" s="7">
        <f t="shared" si="15"/>
        <v>1</v>
      </c>
      <c r="M550" s="7">
        <f>IFERROR(VLOOKUP(G550,'Base de faturamento'!A:C,2,FALSE),0)</f>
        <v>3062</v>
      </c>
      <c r="N550" s="8">
        <f>IFERROR(VLOOKUP(G550,'Base de faturamento'!A:C,3,FALSE),0)</f>
        <v>44717</v>
      </c>
      <c r="O550" s="8">
        <f t="shared" si="16"/>
        <v>44743</v>
      </c>
      <c r="P550" s="8">
        <f t="shared" si="17"/>
        <v>44743</v>
      </c>
    </row>
    <row r="551" spans="1:16" ht="15" x14ac:dyDescent="0.25">
      <c r="A551" s="2" t="s">
        <v>833</v>
      </c>
      <c r="B551" s="2" t="s">
        <v>17</v>
      </c>
      <c r="C551" s="3" t="str">
        <f>VLOOKUP(B551,Dados!$A$3:$B$10,2,FALSE)</f>
        <v>Time 3</v>
      </c>
      <c r="D551" s="2" t="s">
        <v>18</v>
      </c>
      <c r="E551" s="2" t="s">
        <v>19</v>
      </c>
      <c r="F551" s="4" t="s">
        <v>834</v>
      </c>
      <c r="G551" s="5" t="str">
        <f t="shared" si="12"/>
        <v>87704476235</v>
      </c>
      <c r="H551" s="6">
        <v>7187</v>
      </c>
      <c r="I551" s="6">
        <v>0</v>
      </c>
      <c r="J551" s="7">
        <f t="shared" si="13"/>
        <v>7187</v>
      </c>
      <c r="K551" s="7">
        <f t="shared" si="14"/>
        <v>1437.4</v>
      </c>
      <c r="L551" s="7">
        <f t="shared" si="15"/>
        <v>1</v>
      </c>
      <c r="M551" s="7">
        <f>IFERROR(VLOOKUP(G551,'Base de faturamento'!A:C,2,FALSE),0)</f>
        <v>7187</v>
      </c>
      <c r="N551" s="8">
        <f>IFERROR(VLOOKUP(G551,'Base de faturamento'!A:C,3,FALSE),0)</f>
        <v>44707</v>
      </c>
      <c r="O551" s="8">
        <f t="shared" si="16"/>
        <v>44713</v>
      </c>
      <c r="P551" s="8">
        <f t="shared" si="17"/>
        <v>44713</v>
      </c>
    </row>
    <row r="552" spans="1:16" ht="15" x14ac:dyDescent="0.25">
      <c r="A552" s="2" t="s">
        <v>835</v>
      </c>
      <c r="B552" s="2" t="s">
        <v>31</v>
      </c>
      <c r="C552" s="3" t="str">
        <f>VLOOKUP(B552,Dados!$A$3:$B$10,2,FALSE)</f>
        <v>Time 3</v>
      </c>
      <c r="D552" s="2" t="s">
        <v>18</v>
      </c>
      <c r="E552" s="2" t="s">
        <v>25</v>
      </c>
      <c r="F552" s="4" t="s">
        <v>836</v>
      </c>
      <c r="G552" s="5" t="str">
        <f t="shared" si="12"/>
        <v>87760845387</v>
      </c>
      <c r="H552" s="6">
        <v>1963</v>
      </c>
      <c r="I552" s="6">
        <v>7341</v>
      </c>
      <c r="J552" s="7">
        <f t="shared" si="13"/>
        <v>0</v>
      </c>
      <c r="K552" s="7">
        <f t="shared" si="14"/>
        <v>0</v>
      </c>
      <c r="L552" s="7">
        <f t="shared" si="15"/>
        <v>1</v>
      </c>
      <c r="M552" s="7">
        <f>IFERROR(VLOOKUP(G552,'Base de faturamento'!A:C,2,FALSE),0)</f>
        <v>1963</v>
      </c>
      <c r="N552" s="8">
        <f>IFERROR(VLOOKUP(G552,'Base de faturamento'!A:C,3,FALSE),0)</f>
        <v>44674</v>
      </c>
      <c r="O552" s="8">
        <f t="shared" si="16"/>
        <v>44682</v>
      </c>
      <c r="P552" s="8">
        <f t="shared" si="17"/>
        <v>44682</v>
      </c>
    </row>
    <row r="553" spans="1:16" ht="15" x14ac:dyDescent="0.25">
      <c r="A553" s="2" t="s">
        <v>837</v>
      </c>
      <c r="B553" s="2" t="s">
        <v>29</v>
      </c>
      <c r="C553" s="3" t="str">
        <f>VLOOKUP(B553,Dados!$A$3:$B$10,2,FALSE)</f>
        <v>Time 2</v>
      </c>
      <c r="D553" s="2" t="s">
        <v>18</v>
      </c>
      <c r="E553" s="2" t="s">
        <v>25</v>
      </c>
      <c r="F553" s="4" t="s">
        <v>838</v>
      </c>
      <c r="G553" s="5" t="str">
        <f t="shared" si="12"/>
        <v>87838777030</v>
      </c>
      <c r="H553" s="6">
        <v>2949</v>
      </c>
      <c r="I553" s="6">
        <v>9452</v>
      </c>
      <c r="J553" s="7">
        <f t="shared" si="13"/>
        <v>0</v>
      </c>
      <c r="K553" s="7">
        <f t="shared" si="14"/>
        <v>0</v>
      </c>
      <c r="L553" s="7">
        <f t="shared" si="15"/>
        <v>1</v>
      </c>
      <c r="M553" s="7">
        <f>IFERROR(VLOOKUP(G553,'Base de faturamento'!A:C,2,FALSE),0)</f>
        <v>2949</v>
      </c>
      <c r="N553" s="8">
        <f>IFERROR(VLOOKUP(G553,'Base de faturamento'!A:C,3,FALSE),0)</f>
        <v>44639</v>
      </c>
      <c r="O553" s="8">
        <f t="shared" si="16"/>
        <v>44652</v>
      </c>
      <c r="P553" s="8">
        <f t="shared" si="17"/>
        <v>44652</v>
      </c>
    </row>
    <row r="554" spans="1:16" ht="15" x14ac:dyDescent="0.25">
      <c r="A554" s="2" t="s">
        <v>839</v>
      </c>
      <c r="B554" s="2" t="s">
        <v>33</v>
      </c>
      <c r="C554" s="3" t="str">
        <f>VLOOKUP(B554,Dados!$A$3:$B$10,2,FALSE)</f>
        <v>Time 1</v>
      </c>
      <c r="D554" s="2" t="s">
        <v>22</v>
      </c>
      <c r="E554" s="2" t="s">
        <v>19</v>
      </c>
      <c r="F554" s="4" t="s">
        <v>840</v>
      </c>
      <c r="G554" s="5" t="str">
        <f t="shared" si="12"/>
        <v>88009360823</v>
      </c>
      <c r="H554" s="6">
        <v>2509</v>
      </c>
      <c r="I554" s="6">
        <v>0</v>
      </c>
      <c r="J554" s="7">
        <f t="shared" si="13"/>
        <v>2509</v>
      </c>
      <c r="K554" s="7">
        <f t="shared" si="14"/>
        <v>752.69999999999993</v>
      </c>
      <c r="L554" s="7">
        <f t="shared" si="15"/>
        <v>1</v>
      </c>
      <c r="M554" s="7">
        <f>IFERROR(VLOOKUP(G554,'Base de faturamento'!A:C,2,FALSE),0)</f>
        <v>2509</v>
      </c>
      <c r="N554" s="8">
        <f>IFERROR(VLOOKUP(G554,'Base de faturamento'!A:C,3,FALSE),0)</f>
        <v>44729</v>
      </c>
      <c r="O554" s="8">
        <f t="shared" si="16"/>
        <v>44727</v>
      </c>
      <c r="P554" s="8">
        <f t="shared" si="17"/>
        <v>44743</v>
      </c>
    </row>
    <row r="555" spans="1:16" ht="15" x14ac:dyDescent="0.25">
      <c r="A555" s="2" t="s">
        <v>841</v>
      </c>
      <c r="B555" s="2" t="s">
        <v>17</v>
      </c>
      <c r="C555" s="3" t="str">
        <f>VLOOKUP(B555,Dados!$A$3:$B$10,2,FALSE)</f>
        <v>Time 3</v>
      </c>
      <c r="D555" s="2" t="s">
        <v>18</v>
      </c>
      <c r="E555" s="2" t="s">
        <v>19</v>
      </c>
      <c r="F555" s="4" t="s">
        <v>842</v>
      </c>
      <c r="G555" s="5" t="str">
        <f t="shared" si="12"/>
        <v>88463580345</v>
      </c>
      <c r="H555" s="6">
        <v>2462</v>
      </c>
      <c r="I555" s="6">
        <v>0</v>
      </c>
      <c r="J555" s="7">
        <f t="shared" si="13"/>
        <v>2462</v>
      </c>
      <c r="K555" s="7">
        <f t="shared" si="14"/>
        <v>492.40000000000003</v>
      </c>
      <c r="L555" s="7">
        <f t="shared" si="15"/>
        <v>1</v>
      </c>
      <c r="M555" s="7">
        <f>IFERROR(VLOOKUP(G555,'Base de faturamento'!A:C,2,FALSE),0)</f>
        <v>2462</v>
      </c>
      <c r="N555" s="8">
        <f>IFERROR(VLOOKUP(G555,'Base de faturamento'!A:C,3,FALSE),0)</f>
        <v>44722</v>
      </c>
      <c r="O555" s="8">
        <f t="shared" si="16"/>
        <v>44743</v>
      </c>
      <c r="P555" s="8">
        <f t="shared" si="17"/>
        <v>44743</v>
      </c>
    </row>
    <row r="556" spans="1:16" ht="15" x14ac:dyDescent="0.25">
      <c r="A556" s="2" t="s">
        <v>843</v>
      </c>
      <c r="B556" s="2" t="s">
        <v>24</v>
      </c>
      <c r="C556" s="3" t="str">
        <f>VLOOKUP(B556,Dados!$A$3:$B$10,2,FALSE)</f>
        <v>Time 2</v>
      </c>
      <c r="D556" s="2" t="s">
        <v>22</v>
      </c>
      <c r="E556" s="2" t="s">
        <v>19</v>
      </c>
      <c r="F556" s="4" t="s">
        <v>844</v>
      </c>
      <c r="G556" s="5" t="str">
        <f t="shared" si="12"/>
        <v>88510096967</v>
      </c>
      <c r="H556" s="6">
        <v>4177</v>
      </c>
      <c r="I556" s="6">
        <v>0</v>
      </c>
      <c r="J556" s="7">
        <f t="shared" si="13"/>
        <v>4177</v>
      </c>
      <c r="K556" s="7">
        <f t="shared" si="14"/>
        <v>1253.0999999999999</v>
      </c>
      <c r="L556" s="7">
        <f t="shared" si="15"/>
        <v>1</v>
      </c>
      <c r="M556" s="7">
        <f>IFERROR(VLOOKUP(G556,'Base de faturamento'!A:C,2,FALSE),0)</f>
        <v>4177</v>
      </c>
      <c r="N556" s="8">
        <f>IFERROR(VLOOKUP(G556,'Base de faturamento'!A:C,3,FALSE),0)</f>
        <v>44714</v>
      </c>
      <c r="O556" s="8">
        <f t="shared" si="16"/>
        <v>44743</v>
      </c>
      <c r="P556" s="8">
        <f t="shared" si="17"/>
        <v>44743</v>
      </c>
    </row>
    <row r="557" spans="1:16" ht="15" x14ac:dyDescent="0.25">
      <c r="A557" s="2" t="s">
        <v>845</v>
      </c>
      <c r="B557" s="2" t="s">
        <v>17</v>
      </c>
      <c r="C557" s="3" t="str">
        <f>VLOOKUP(B557,Dados!$A$3:$B$10,2,FALSE)</f>
        <v>Time 3</v>
      </c>
      <c r="D557" s="2" t="s">
        <v>22</v>
      </c>
      <c r="E557" s="2" t="s">
        <v>19</v>
      </c>
      <c r="F557" s="4" t="s">
        <v>846</v>
      </c>
      <c r="G557" s="5" t="str">
        <f t="shared" si="12"/>
        <v>89036129747</v>
      </c>
      <c r="H557" s="6">
        <v>4186</v>
      </c>
      <c r="I557" s="6">
        <v>0</v>
      </c>
      <c r="J557" s="7">
        <f t="shared" si="13"/>
        <v>4186</v>
      </c>
      <c r="K557" s="7">
        <f t="shared" si="14"/>
        <v>1255.8</v>
      </c>
      <c r="L557" s="7">
        <f t="shared" si="15"/>
        <v>1</v>
      </c>
      <c r="M557" s="7">
        <f>IFERROR(VLOOKUP(G557,'Base de faturamento'!A:C,2,FALSE),0)</f>
        <v>4186</v>
      </c>
      <c r="N557" s="8">
        <f>IFERROR(VLOOKUP(G557,'Base de faturamento'!A:C,3,FALSE),0)</f>
        <v>44695</v>
      </c>
      <c r="O557" s="8">
        <f t="shared" si="16"/>
        <v>44713</v>
      </c>
      <c r="P557" s="8">
        <f t="shared" si="17"/>
        <v>44713</v>
      </c>
    </row>
    <row r="558" spans="1:16" ht="15" x14ac:dyDescent="0.25">
      <c r="A558" s="2" t="s">
        <v>847</v>
      </c>
      <c r="B558" s="2" t="s">
        <v>31</v>
      </c>
      <c r="C558" s="3" t="str">
        <f>VLOOKUP(B558,Dados!$A$3:$B$10,2,FALSE)</f>
        <v>Time 3</v>
      </c>
      <c r="D558" s="2" t="s">
        <v>18</v>
      </c>
      <c r="E558" s="2" t="s">
        <v>19</v>
      </c>
      <c r="F558" s="4" t="s">
        <v>848</v>
      </c>
      <c r="G558" s="5" t="str">
        <f t="shared" si="12"/>
        <v>89073625535</v>
      </c>
      <c r="H558" s="6">
        <v>2227</v>
      </c>
      <c r="I558" s="6">
        <v>0</v>
      </c>
      <c r="J558" s="7">
        <f t="shared" si="13"/>
        <v>2227</v>
      </c>
      <c r="K558" s="7">
        <f t="shared" si="14"/>
        <v>445.40000000000003</v>
      </c>
      <c r="L558" s="7">
        <f t="shared" si="15"/>
        <v>1</v>
      </c>
      <c r="M558" s="7">
        <f>IFERROR(VLOOKUP(G558,'Base de faturamento'!A:C,2,FALSE),0)</f>
        <v>2227</v>
      </c>
      <c r="N558" s="8">
        <f>IFERROR(VLOOKUP(G558,'Base de faturamento'!A:C,3,FALSE),0)</f>
        <v>44664</v>
      </c>
      <c r="O558" s="8">
        <f t="shared" si="16"/>
        <v>44682</v>
      </c>
      <c r="P558" s="8">
        <f t="shared" si="17"/>
        <v>44682</v>
      </c>
    </row>
    <row r="559" spans="1:16" ht="15" x14ac:dyDescent="0.25">
      <c r="A559" s="2" t="s">
        <v>849</v>
      </c>
      <c r="B559" s="2" t="s">
        <v>24</v>
      </c>
      <c r="C559" s="3" t="str">
        <f>VLOOKUP(B559,Dados!$A$3:$B$10,2,FALSE)</f>
        <v>Time 2</v>
      </c>
      <c r="D559" s="2" t="s">
        <v>18</v>
      </c>
      <c r="E559" s="2" t="s">
        <v>19</v>
      </c>
      <c r="F559" s="4" t="s">
        <v>850</v>
      </c>
      <c r="G559" s="5" t="str">
        <f t="shared" si="12"/>
        <v>89731775648</v>
      </c>
      <c r="H559" s="6">
        <v>2310</v>
      </c>
      <c r="I559" s="6">
        <v>0</v>
      </c>
      <c r="J559" s="7">
        <f t="shared" si="13"/>
        <v>2310</v>
      </c>
      <c r="K559" s="7">
        <f t="shared" si="14"/>
        <v>462</v>
      </c>
      <c r="L559" s="7">
        <f t="shared" si="15"/>
        <v>1</v>
      </c>
      <c r="M559" s="7">
        <f>IFERROR(VLOOKUP(G559,'Base de faturamento'!A:C,2,FALSE),0)</f>
        <v>2310</v>
      </c>
      <c r="N559" s="8">
        <f>IFERROR(VLOOKUP(G559,'Base de faturamento'!A:C,3,FALSE),0)</f>
        <v>44665</v>
      </c>
      <c r="O559" s="8">
        <f t="shared" si="16"/>
        <v>44682</v>
      </c>
      <c r="P559" s="8">
        <f t="shared" si="17"/>
        <v>44682</v>
      </c>
    </row>
    <row r="560" spans="1:16" ht="15" x14ac:dyDescent="0.25">
      <c r="A560" s="2" t="s">
        <v>851</v>
      </c>
      <c r="B560" s="2" t="s">
        <v>33</v>
      </c>
      <c r="C560" s="3" t="str">
        <f>VLOOKUP(B560,Dados!$A$3:$B$10,2,FALSE)</f>
        <v>Time 1</v>
      </c>
      <c r="D560" s="2" t="s">
        <v>22</v>
      </c>
      <c r="E560" s="2" t="s">
        <v>19</v>
      </c>
      <c r="F560" s="4" t="s">
        <v>852</v>
      </c>
      <c r="G560" s="5" t="str">
        <f t="shared" si="12"/>
        <v>90008042497</v>
      </c>
      <c r="H560" s="6">
        <v>9735</v>
      </c>
      <c r="I560" s="6">
        <v>0</v>
      </c>
      <c r="J560" s="7">
        <f t="shared" si="13"/>
        <v>9735</v>
      </c>
      <c r="K560" s="7">
        <f t="shared" si="14"/>
        <v>2920.5</v>
      </c>
      <c r="L560" s="7">
        <f t="shared" si="15"/>
        <v>1</v>
      </c>
      <c r="M560" s="7">
        <f>IFERROR(VLOOKUP(G560,'Base de faturamento'!A:C,2,FALSE),0)</f>
        <v>9735</v>
      </c>
      <c r="N560" s="8">
        <f>IFERROR(VLOOKUP(G560,'Base de faturamento'!A:C,3,FALSE),0)</f>
        <v>44626</v>
      </c>
      <c r="O560" s="8">
        <f t="shared" si="16"/>
        <v>44635</v>
      </c>
      <c r="P560" s="8">
        <f t="shared" si="17"/>
        <v>44652</v>
      </c>
    </row>
    <row r="561" spans="1:16" ht="15" x14ac:dyDescent="0.25">
      <c r="A561" s="2" t="s">
        <v>853</v>
      </c>
      <c r="B561" s="2" t="s">
        <v>17</v>
      </c>
      <c r="C561" s="3" t="str">
        <f>VLOOKUP(B561,Dados!$A$3:$B$10,2,FALSE)</f>
        <v>Time 3</v>
      </c>
      <c r="D561" s="2" t="s">
        <v>22</v>
      </c>
      <c r="E561" s="2" t="s">
        <v>25</v>
      </c>
      <c r="F561" s="4" t="s">
        <v>854</v>
      </c>
      <c r="G561" s="5" t="str">
        <f t="shared" si="12"/>
        <v>90076320363</v>
      </c>
      <c r="H561" s="6">
        <v>6856</v>
      </c>
      <c r="I561" s="6">
        <v>5764</v>
      </c>
      <c r="J561" s="7">
        <f t="shared" si="13"/>
        <v>1092</v>
      </c>
      <c r="K561" s="7">
        <f t="shared" si="14"/>
        <v>0</v>
      </c>
      <c r="L561" s="7">
        <f t="shared" si="15"/>
        <v>0</v>
      </c>
      <c r="M561" s="7">
        <f>IFERROR(VLOOKUP(G561,'Base de faturamento'!A:C,2,FALSE),0)</f>
        <v>0</v>
      </c>
      <c r="N561" s="8">
        <f>IFERROR(VLOOKUP(G561,'Base de faturamento'!A:C,3,FALSE),0)</f>
        <v>0</v>
      </c>
      <c r="O561" s="8">
        <f t="shared" si="16"/>
        <v>32</v>
      </c>
      <c r="P561" s="9" t="b">
        <f t="shared" si="17"/>
        <v>0</v>
      </c>
    </row>
    <row r="562" spans="1:16" ht="15" x14ac:dyDescent="0.25">
      <c r="A562" s="2" t="s">
        <v>855</v>
      </c>
      <c r="B562" s="2" t="s">
        <v>21</v>
      </c>
      <c r="C562" s="3" t="str">
        <f>VLOOKUP(B562,Dados!$A$3:$B$10,2,FALSE)</f>
        <v>Time 1</v>
      </c>
      <c r="D562" s="2" t="s">
        <v>18</v>
      </c>
      <c r="E562" s="2" t="s">
        <v>19</v>
      </c>
      <c r="F562" s="4" t="s">
        <v>856</v>
      </c>
      <c r="G562" s="5" t="str">
        <f t="shared" si="12"/>
        <v>90536524747</v>
      </c>
      <c r="H562" s="6">
        <v>7990</v>
      </c>
      <c r="I562" s="6">
        <v>0</v>
      </c>
      <c r="J562" s="7">
        <f t="shared" si="13"/>
        <v>7990</v>
      </c>
      <c r="K562" s="7">
        <f t="shared" si="14"/>
        <v>1598</v>
      </c>
      <c r="L562" s="7">
        <f t="shared" si="15"/>
        <v>1</v>
      </c>
      <c r="M562" s="7">
        <f>IFERROR(VLOOKUP(G562,'Base de faturamento'!A:C,2,FALSE),0)</f>
        <v>7990</v>
      </c>
      <c r="N562" s="8">
        <f>IFERROR(VLOOKUP(G562,'Base de faturamento'!A:C,3,FALSE),0)</f>
        <v>44685</v>
      </c>
      <c r="O562" s="8">
        <f t="shared" si="16"/>
        <v>44696</v>
      </c>
      <c r="P562" s="8">
        <f t="shared" si="17"/>
        <v>44713</v>
      </c>
    </row>
    <row r="563" spans="1:16" ht="15" x14ac:dyDescent="0.25">
      <c r="A563" s="2" t="s">
        <v>857</v>
      </c>
      <c r="B563" s="2" t="s">
        <v>33</v>
      </c>
      <c r="C563" s="3" t="str">
        <f>VLOOKUP(B563,Dados!$A$3:$B$10,2,FALSE)</f>
        <v>Time 1</v>
      </c>
      <c r="D563" s="2" t="s">
        <v>18</v>
      </c>
      <c r="E563" s="2" t="s">
        <v>25</v>
      </c>
      <c r="F563" s="4" t="s">
        <v>858</v>
      </c>
      <c r="G563" s="5" t="str">
        <f t="shared" si="12"/>
        <v>90558214902</v>
      </c>
      <c r="H563" s="6">
        <v>3667</v>
      </c>
      <c r="I563" s="6">
        <v>7357</v>
      </c>
      <c r="J563" s="7">
        <f t="shared" si="13"/>
        <v>0</v>
      </c>
      <c r="K563" s="7">
        <f t="shared" si="14"/>
        <v>0</v>
      </c>
      <c r="L563" s="7">
        <f t="shared" si="15"/>
        <v>1</v>
      </c>
      <c r="M563" s="7">
        <f>IFERROR(VLOOKUP(G563,'Base de faturamento'!A:C,2,FALSE),0)</f>
        <v>3667</v>
      </c>
      <c r="N563" s="8">
        <f>IFERROR(VLOOKUP(G563,'Base de faturamento'!A:C,3,FALSE),0)</f>
        <v>44653</v>
      </c>
      <c r="O563" s="8">
        <f t="shared" si="16"/>
        <v>44666</v>
      </c>
      <c r="P563" s="8">
        <f t="shared" si="17"/>
        <v>44682</v>
      </c>
    </row>
    <row r="564" spans="1:16" ht="15" x14ac:dyDescent="0.25">
      <c r="A564" s="2" t="s">
        <v>859</v>
      </c>
      <c r="B564" s="2" t="s">
        <v>24</v>
      </c>
      <c r="C564" s="3" t="str">
        <f>VLOOKUP(B564,Dados!$A$3:$B$10,2,FALSE)</f>
        <v>Time 2</v>
      </c>
      <c r="D564" s="2" t="s">
        <v>18</v>
      </c>
      <c r="E564" s="2" t="s">
        <v>25</v>
      </c>
      <c r="F564" s="4" t="s">
        <v>860</v>
      </c>
      <c r="G564" s="5" t="str">
        <f t="shared" si="12"/>
        <v>90559049099</v>
      </c>
      <c r="H564" s="6">
        <v>2482</v>
      </c>
      <c r="I564" s="6">
        <v>7594</v>
      </c>
      <c r="J564" s="7">
        <f t="shared" si="13"/>
        <v>0</v>
      </c>
      <c r="K564" s="7">
        <f t="shared" si="14"/>
        <v>0</v>
      </c>
      <c r="L564" s="7">
        <f t="shared" si="15"/>
        <v>1</v>
      </c>
      <c r="M564" s="7">
        <f>IFERROR(VLOOKUP(G564,'Base de faturamento'!A:C,2,FALSE),0)</f>
        <v>2482</v>
      </c>
      <c r="N564" s="8">
        <f>IFERROR(VLOOKUP(G564,'Base de faturamento'!A:C,3,FALSE),0)</f>
        <v>44624</v>
      </c>
      <c r="O564" s="8">
        <f t="shared" si="16"/>
        <v>44652</v>
      </c>
      <c r="P564" s="8">
        <f t="shared" si="17"/>
        <v>44652</v>
      </c>
    </row>
    <row r="565" spans="1:16" ht="15" x14ac:dyDescent="0.25">
      <c r="A565" s="2" t="s">
        <v>861</v>
      </c>
      <c r="B565" s="2" t="s">
        <v>27</v>
      </c>
      <c r="C565" s="3" t="str">
        <f>VLOOKUP(B565,Dados!$A$3:$B$10,2,FALSE)</f>
        <v>Time 2</v>
      </c>
      <c r="D565" s="2" t="s">
        <v>18</v>
      </c>
      <c r="E565" s="2" t="s">
        <v>25</v>
      </c>
      <c r="F565" s="4" t="s">
        <v>862</v>
      </c>
      <c r="G565" s="5" t="str">
        <f t="shared" si="12"/>
        <v>90634204026</v>
      </c>
      <c r="H565" s="6">
        <v>1103</v>
      </c>
      <c r="I565" s="6">
        <v>3310</v>
      </c>
      <c r="J565" s="7">
        <f t="shared" si="13"/>
        <v>0</v>
      </c>
      <c r="K565" s="7">
        <f t="shared" si="14"/>
        <v>0</v>
      </c>
      <c r="L565" s="7">
        <f t="shared" si="15"/>
        <v>1</v>
      </c>
      <c r="M565" s="7">
        <f>IFERROR(VLOOKUP(G565,'Base de faturamento'!A:C,2,FALSE),0)</f>
        <v>1103</v>
      </c>
      <c r="N565" s="8">
        <f>IFERROR(VLOOKUP(G565,'Base de faturamento'!A:C,3,FALSE),0)</f>
        <v>44670</v>
      </c>
      <c r="O565" s="8">
        <f t="shared" si="16"/>
        <v>44682</v>
      </c>
      <c r="P565" s="8">
        <f t="shared" si="17"/>
        <v>44682</v>
      </c>
    </row>
    <row r="566" spans="1:16" ht="15" x14ac:dyDescent="0.25">
      <c r="A566" s="2" t="s">
        <v>863</v>
      </c>
      <c r="B566" s="2" t="s">
        <v>31</v>
      </c>
      <c r="C566" s="3" t="str">
        <f>VLOOKUP(B566,Dados!$A$3:$B$10,2,FALSE)</f>
        <v>Time 3</v>
      </c>
      <c r="D566" s="2" t="s">
        <v>22</v>
      </c>
      <c r="E566" s="2" t="s">
        <v>25</v>
      </c>
      <c r="F566" s="4" t="s">
        <v>864</v>
      </c>
      <c r="G566" s="5" t="str">
        <f t="shared" si="12"/>
        <v>91079335563</v>
      </c>
      <c r="H566" s="6">
        <v>5382</v>
      </c>
      <c r="I566" s="6">
        <v>2354</v>
      </c>
      <c r="J566" s="7">
        <f t="shared" si="13"/>
        <v>3028</v>
      </c>
      <c r="K566" s="7">
        <f t="shared" si="14"/>
        <v>908.4</v>
      </c>
      <c r="L566" s="7">
        <f t="shared" si="15"/>
        <v>1</v>
      </c>
      <c r="M566" s="7">
        <f>IFERROR(VLOOKUP(G566,'Base de faturamento'!A:C,2,FALSE),0)</f>
        <v>5382</v>
      </c>
      <c r="N566" s="8">
        <f>IFERROR(VLOOKUP(G566,'Base de faturamento'!A:C,3,FALSE),0)</f>
        <v>44682</v>
      </c>
      <c r="O566" s="8">
        <f t="shared" si="16"/>
        <v>44713</v>
      </c>
      <c r="P566" s="8">
        <f t="shared" si="17"/>
        <v>44713</v>
      </c>
    </row>
    <row r="567" spans="1:16" ht="15" x14ac:dyDescent="0.25">
      <c r="A567" s="2" t="s">
        <v>865</v>
      </c>
      <c r="B567" s="2" t="s">
        <v>24</v>
      </c>
      <c r="C567" s="3" t="str">
        <f>VLOOKUP(B567,Dados!$A$3:$B$10,2,FALSE)</f>
        <v>Time 2</v>
      </c>
      <c r="D567" s="2" t="s">
        <v>18</v>
      </c>
      <c r="E567" s="2" t="s">
        <v>19</v>
      </c>
      <c r="F567" s="4" t="s">
        <v>866</v>
      </c>
      <c r="G567" s="5" t="str">
        <f t="shared" si="12"/>
        <v>91561042436</v>
      </c>
      <c r="H567" s="6">
        <v>6322</v>
      </c>
      <c r="I567" s="6">
        <v>0</v>
      </c>
      <c r="J567" s="7">
        <f t="shared" si="13"/>
        <v>6322</v>
      </c>
      <c r="K567" s="7">
        <f t="shared" si="14"/>
        <v>1264.4000000000001</v>
      </c>
      <c r="L567" s="7">
        <f t="shared" si="15"/>
        <v>1</v>
      </c>
      <c r="M567" s="7">
        <f>IFERROR(VLOOKUP(G567,'Base de faturamento'!A:C,2,FALSE),0)</f>
        <v>6322</v>
      </c>
      <c r="N567" s="8">
        <f>IFERROR(VLOOKUP(G567,'Base de faturamento'!A:C,3,FALSE),0)</f>
        <v>44733</v>
      </c>
      <c r="O567" s="8">
        <f t="shared" si="16"/>
        <v>44743</v>
      </c>
      <c r="P567" s="8">
        <f t="shared" si="17"/>
        <v>44743</v>
      </c>
    </row>
    <row r="568" spans="1:16" ht="15" x14ac:dyDescent="0.25">
      <c r="A568" s="2" t="s">
        <v>867</v>
      </c>
      <c r="B568" s="2" t="s">
        <v>21</v>
      </c>
      <c r="C568" s="3" t="str">
        <f>VLOOKUP(B568,Dados!$A$3:$B$10,2,FALSE)</f>
        <v>Time 1</v>
      </c>
      <c r="D568" s="2" t="s">
        <v>18</v>
      </c>
      <c r="E568" s="2" t="s">
        <v>19</v>
      </c>
      <c r="F568" s="4" t="s">
        <v>868</v>
      </c>
      <c r="G568" s="5" t="str">
        <f t="shared" si="12"/>
        <v>91821017135</v>
      </c>
      <c r="H568" s="6">
        <v>1521</v>
      </c>
      <c r="I568" s="6">
        <v>0</v>
      </c>
      <c r="J568" s="7">
        <f t="shared" si="13"/>
        <v>1521</v>
      </c>
      <c r="K568" s="7">
        <f t="shared" si="14"/>
        <v>304.2</v>
      </c>
      <c r="L568" s="7">
        <f t="shared" si="15"/>
        <v>1</v>
      </c>
      <c r="M568" s="7">
        <f>IFERROR(VLOOKUP(G568,'Base de faturamento'!A:C,2,FALSE),0)</f>
        <v>1521</v>
      </c>
      <c r="N568" s="8">
        <f>IFERROR(VLOOKUP(G568,'Base de faturamento'!A:C,3,FALSE),0)</f>
        <v>44699</v>
      </c>
      <c r="O568" s="8">
        <f t="shared" si="16"/>
        <v>44696</v>
      </c>
      <c r="P568" s="8">
        <f t="shared" si="17"/>
        <v>44713</v>
      </c>
    </row>
    <row r="569" spans="1:16" ht="15" x14ac:dyDescent="0.25">
      <c r="A569" s="2" t="s">
        <v>869</v>
      </c>
      <c r="B569" s="2" t="s">
        <v>33</v>
      </c>
      <c r="C569" s="3" t="str">
        <f>VLOOKUP(B569,Dados!$A$3:$B$10,2,FALSE)</f>
        <v>Time 1</v>
      </c>
      <c r="D569" s="2" t="s">
        <v>18</v>
      </c>
      <c r="E569" s="2" t="s">
        <v>19</v>
      </c>
      <c r="F569" s="4" t="s">
        <v>870</v>
      </c>
      <c r="G569" s="5" t="str">
        <f t="shared" si="12"/>
        <v>92065710308</v>
      </c>
      <c r="H569" s="6">
        <v>9476</v>
      </c>
      <c r="I569" s="6">
        <v>0</v>
      </c>
      <c r="J569" s="7">
        <f t="shared" si="13"/>
        <v>9476</v>
      </c>
      <c r="K569" s="7">
        <f t="shared" si="14"/>
        <v>1895.2</v>
      </c>
      <c r="L569" s="7">
        <f t="shared" si="15"/>
        <v>1</v>
      </c>
      <c r="M569" s="7">
        <f>IFERROR(VLOOKUP(G569,'Base de faturamento'!A:C,2,FALSE),0)</f>
        <v>9476</v>
      </c>
      <c r="N569" s="8">
        <f>IFERROR(VLOOKUP(G569,'Base de faturamento'!A:C,3,FALSE),0)</f>
        <v>44639</v>
      </c>
      <c r="O569" s="8">
        <f t="shared" si="16"/>
        <v>44635</v>
      </c>
      <c r="P569" s="8">
        <f t="shared" si="17"/>
        <v>44652</v>
      </c>
    </row>
    <row r="570" spans="1:16" ht="15" x14ac:dyDescent="0.25">
      <c r="A570" s="2" t="s">
        <v>871</v>
      </c>
      <c r="B570" s="2" t="s">
        <v>24</v>
      </c>
      <c r="C570" s="3" t="str">
        <f>VLOOKUP(B570,Dados!$A$3:$B$10,2,FALSE)</f>
        <v>Time 2</v>
      </c>
      <c r="D570" s="2" t="s">
        <v>22</v>
      </c>
      <c r="E570" s="2" t="s">
        <v>25</v>
      </c>
      <c r="F570" s="4" t="s">
        <v>872</v>
      </c>
      <c r="G570" s="5" t="str">
        <f t="shared" si="12"/>
        <v>92137448804</v>
      </c>
      <c r="H570" s="6">
        <v>1149</v>
      </c>
      <c r="I570" s="6">
        <v>3765</v>
      </c>
      <c r="J570" s="7">
        <f t="shared" si="13"/>
        <v>0</v>
      </c>
      <c r="K570" s="7">
        <f t="shared" si="14"/>
        <v>0</v>
      </c>
      <c r="L570" s="7">
        <f t="shared" si="15"/>
        <v>0</v>
      </c>
      <c r="M570" s="7">
        <f>IFERROR(VLOOKUP(G570,'Base de faturamento'!A:C,2,FALSE),0)</f>
        <v>0</v>
      </c>
      <c r="N570" s="8">
        <f>IFERROR(VLOOKUP(G570,'Base de faturamento'!A:C,3,FALSE),0)</f>
        <v>0</v>
      </c>
      <c r="O570" s="8">
        <f t="shared" si="16"/>
        <v>32</v>
      </c>
      <c r="P570" s="9" t="b">
        <f t="shared" si="17"/>
        <v>0</v>
      </c>
    </row>
    <row r="571" spans="1:16" ht="15" x14ac:dyDescent="0.25">
      <c r="A571" s="2" t="s">
        <v>873</v>
      </c>
      <c r="B571" s="2" t="s">
        <v>27</v>
      </c>
      <c r="C571" s="3" t="str">
        <f>VLOOKUP(B571,Dados!$A$3:$B$10,2,FALSE)</f>
        <v>Time 2</v>
      </c>
      <c r="D571" s="2" t="s">
        <v>22</v>
      </c>
      <c r="E571" s="2" t="s">
        <v>25</v>
      </c>
      <c r="F571" s="4" t="s">
        <v>874</v>
      </c>
      <c r="G571" s="5" t="str">
        <f t="shared" si="12"/>
        <v>92453410042</v>
      </c>
      <c r="H571" s="6">
        <v>2717</v>
      </c>
      <c r="I571" s="6">
        <v>9246</v>
      </c>
      <c r="J571" s="7">
        <f t="shared" si="13"/>
        <v>0</v>
      </c>
      <c r="K571" s="7">
        <f t="shared" si="14"/>
        <v>0</v>
      </c>
      <c r="L571" s="7">
        <f t="shared" si="15"/>
        <v>0</v>
      </c>
      <c r="M571" s="7">
        <f>IFERROR(VLOOKUP(G571,'Base de faturamento'!A:C,2,FALSE),0)</f>
        <v>0</v>
      </c>
      <c r="N571" s="8">
        <f>IFERROR(VLOOKUP(G571,'Base de faturamento'!A:C,3,FALSE),0)</f>
        <v>0</v>
      </c>
      <c r="O571" s="8">
        <f t="shared" si="16"/>
        <v>32</v>
      </c>
      <c r="P571" s="9" t="b">
        <f t="shared" si="17"/>
        <v>0</v>
      </c>
    </row>
    <row r="572" spans="1:16" ht="15" x14ac:dyDescent="0.25">
      <c r="A572" s="2" t="s">
        <v>875</v>
      </c>
      <c r="B572" s="2" t="s">
        <v>24</v>
      </c>
      <c r="C572" s="3" t="str">
        <f>VLOOKUP(B572,Dados!$A$3:$B$10,2,FALSE)</f>
        <v>Time 2</v>
      </c>
      <c r="D572" s="2" t="s">
        <v>18</v>
      </c>
      <c r="E572" s="2" t="s">
        <v>25</v>
      </c>
      <c r="F572" s="4" t="s">
        <v>876</v>
      </c>
      <c r="G572" s="5" t="str">
        <f t="shared" si="12"/>
        <v>92868476476</v>
      </c>
      <c r="H572" s="6">
        <v>8260</v>
      </c>
      <c r="I572" s="6">
        <v>7004</v>
      </c>
      <c r="J572" s="7">
        <f t="shared" si="13"/>
        <v>1256</v>
      </c>
      <c r="K572" s="7">
        <f t="shared" si="14"/>
        <v>251.20000000000002</v>
      </c>
      <c r="L572" s="7">
        <f t="shared" si="15"/>
        <v>1</v>
      </c>
      <c r="M572" s="7">
        <f>IFERROR(VLOOKUP(G572,'Base de faturamento'!A:C,2,FALSE),0)</f>
        <v>8260</v>
      </c>
      <c r="N572" s="8">
        <f>IFERROR(VLOOKUP(G572,'Base de faturamento'!A:C,3,FALSE),0)</f>
        <v>44739</v>
      </c>
      <c r="O572" s="8">
        <f t="shared" si="16"/>
        <v>44743</v>
      </c>
      <c r="P572" s="8">
        <f t="shared" si="17"/>
        <v>44743</v>
      </c>
    </row>
    <row r="573" spans="1:16" ht="15" x14ac:dyDescent="0.25">
      <c r="A573" s="2" t="s">
        <v>877</v>
      </c>
      <c r="B573" s="2" t="s">
        <v>21</v>
      </c>
      <c r="C573" s="3" t="str">
        <f>VLOOKUP(B573,Dados!$A$3:$B$10,2,FALSE)</f>
        <v>Time 1</v>
      </c>
      <c r="D573" s="2" t="s">
        <v>22</v>
      </c>
      <c r="E573" s="2" t="s">
        <v>19</v>
      </c>
      <c r="F573" s="4" t="s">
        <v>878</v>
      </c>
      <c r="G573" s="5" t="str">
        <f t="shared" si="12"/>
        <v>93188017729</v>
      </c>
      <c r="H573" s="6">
        <v>8794</v>
      </c>
      <c r="I573" s="6">
        <v>0</v>
      </c>
      <c r="J573" s="7">
        <f t="shared" si="13"/>
        <v>8794</v>
      </c>
      <c r="K573" s="7">
        <f t="shared" si="14"/>
        <v>2638.2</v>
      </c>
      <c r="L573" s="7">
        <f t="shared" si="15"/>
        <v>1</v>
      </c>
      <c r="M573" s="7">
        <f>IFERROR(VLOOKUP(G573,'Base de faturamento'!A:C,2,FALSE),0)</f>
        <v>8794</v>
      </c>
      <c r="N573" s="8">
        <f>IFERROR(VLOOKUP(G573,'Base de faturamento'!A:C,3,FALSE),0)</f>
        <v>44626</v>
      </c>
      <c r="O573" s="8">
        <f t="shared" si="16"/>
        <v>44635</v>
      </c>
      <c r="P573" s="8">
        <f t="shared" si="17"/>
        <v>44652</v>
      </c>
    </row>
    <row r="574" spans="1:16" ht="15" x14ac:dyDescent="0.25">
      <c r="A574" s="2" t="s">
        <v>879</v>
      </c>
      <c r="B574" s="2" t="s">
        <v>21</v>
      </c>
      <c r="C574" s="3" t="str">
        <f>VLOOKUP(B574,Dados!$A$3:$B$10,2,FALSE)</f>
        <v>Time 1</v>
      </c>
      <c r="D574" s="2" t="s">
        <v>18</v>
      </c>
      <c r="E574" s="2" t="s">
        <v>19</v>
      </c>
      <c r="F574" s="4" t="s">
        <v>880</v>
      </c>
      <c r="G574" s="5" t="str">
        <f t="shared" si="12"/>
        <v>93284906903</v>
      </c>
      <c r="H574" s="6">
        <v>4182</v>
      </c>
      <c r="I574" s="6">
        <v>0</v>
      </c>
      <c r="J574" s="7">
        <f t="shared" si="13"/>
        <v>4182</v>
      </c>
      <c r="K574" s="7">
        <f t="shared" si="14"/>
        <v>836.40000000000009</v>
      </c>
      <c r="L574" s="7">
        <f t="shared" si="15"/>
        <v>1</v>
      </c>
      <c r="M574" s="7">
        <f>IFERROR(VLOOKUP(G574,'Base de faturamento'!A:C,2,FALSE),0)</f>
        <v>4182</v>
      </c>
      <c r="N574" s="8">
        <f>IFERROR(VLOOKUP(G574,'Base de faturamento'!A:C,3,FALSE),0)</f>
        <v>44683</v>
      </c>
      <c r="O574" s="8">
        <f t="shared" si="16"/>
        <v>44696</v>
      </c>
      <c r="P574" s="8">
        <f t="shared" si="17"/>
        <v>44713</v>
      </c>
    </row>
    <row r="575" spans="1:16" ht="15" x14ac:dyDescent="0.25">
      <c r="A575" s="2" t="s">
        <v>881</v>
      </c>
      <c r="B575" s="2" t="s">
        <v>29</v>
      </c>
      <c r="C575" s="3" t="str">
        <f>VLOOKUP(B575,Dados!$A$3:$B$10,2,FALSE)</f>
        <v>Time 2</v>
      </c>
      <c r="D575" s="2" t="s">
        <v>22</v>
      </c>
      <c r="E575" s="2" t="s">
        <v>25</v>
      </c>
      <c r="F575" s="4" t="s">
        <v>882</v>
      </c>
      <c r="G575" s="5" t="str">
        <f t="shared" si="12"/>
        <v>93422435568</v>
      </c>
      <c r="H575" s="6">
        <v>6938</v>
      </c>
      <c r="I575" s="6">
        <v>6851</v>
      </c>
      <c r="J575" s="7">
        <f t="shared" si="13"/>
        <v>87</v>
      </c>
      <c r="K575" s="7">
        <f t="shared" si="14"/>
        <v>26.099999999999998</v>
      </c>
      <c r="L575" s="7">
        <f t="shared" si="15"/>
        <v>1</v>
      </c>
      <c r="M575" s="7">
        <f>IFERROR(VLOOKUP(G575,'Base de faturamento'!A:C,2,FALSE),0)</f>
        <v>6938</v>
      </c>
      <c r="N575" s="8">
        <f>IFERROR(VLOOKUP(G575,'Base de faturamento'!A:C,3,FALSE),0)</f>
        <v>44621</v>
      </c>
      <c r="O575" s="8">
        <f t="shared" si="16"/>
        <v>44652</v>
      </c>
      <c r="P575" s="8">
        <f t="shared" si="17"/>
        <v>44652</v>
      </c>
    </row>
    <row r="576" spans="1:16" ht="15" x14ac:dyDescent="0.25">
      <c r="A576" s="2" t="s">
        <v>883</v>
      </c>
      <c r="B576" s="2" t="s">
        <v>31</v>
      </c>
      <c r="C576" s="3" t="str">
        <f>VLOOKUP(B576,Dados!$A$3:$B$10,2,FALSE)</f>
        <v>Time 3</v>
      </c>
      <c r="D576" s="2" t="s">
        <v>18</v>
      </c>
      <c r="E576" s="2" t="s">
        <v>25</v>
      </c>
      <c r="F576" s="4" t="s">
        <v>884</v>
      </c>
      <c r="G576" s="5" t="str">
        <f t="shared" si="12"/>
        <v>93469038679</v>
      </c>
      <c r="H576" s="6">
        <v>9403</v>
      </c>
      <c r="I576" s="6">
        <v>7800</v>
      </c>
      <c r="J576" s="7">
        <f t="shared" si="13"/>
        <v>1603</v>
      </c>
      <c r="K576" s="7">
        <f t="shared" si="14"/>
        <v>320.60000000000002</v>
      </c>
      <c r="L576" s="7">
        <f t="shared" si="15"/>
        <v>1</v>
      </c>
      <c r="M576" s="7">
        <f>IFERROR(VLOOKUP(G576,'Base de faturamento'!A:C,2,FALSE),0)</f>
        <v>9403</v>
      </c>
      <c r="N576" s="8">
        <f>IFERROR(VLOOKUP(G576,'Base de faturamento'!A:C,3,FALSE),0)</f>
        <v>44663</v>
      </c>
      <c r="O576" s="8">
        <f t="shared" si="16"/>
        <v>44682</v>
      </c>
      <c r="P576" s="8">
        <f t="shared" si="17"/>
        <v>44682</v>
      </c>
    </row>
    <row r="577" spans="1:16" ht="15" x14ac:dyDescent="0.25">
      <c r="A577" s="2" t="s">
        <v>885</v>
      </c>
      <c r="B577" s="2" t="s">
        <v>36</v>
      </c>
      <c r="C577" s="3" t="str">
        <f>VLOOKUP(B577,Dados!$A$3:$B$10,2,FALSE)</f>
        <v>Time 1</v>
      </c>
      <c r="D577" s="2" t="s">
        <v>18</v>
      </c>
      <c r="E577" s="2" t="s">
        <v>19</v>
      </c>
      <c r="F577" s="4" t="s">
        <v>886</v>
      </c>
      <c r="G577" s="5" t="str">
        <f t="shared" si="12"/>
        <v>93553895019</v>
      </c>
      <c r="H577" s="6">
        <v>2964</v>
      </c>
      <c r="I577" s="6">
        <v>0</v>
      </c>
      <c r="J577" s="7">
        <f t="shared" si="13"/>
        <v>2964</v>
      </c>
      <c r="K577" s="7">
        <f t="shared" si="14"/>
        <v>592.80000000000007</v>
      </c>
      <c r="L577" s="7">
        <f t="shared" si="15"/>
        <v>1</v>
      </c>
      <c r="M577" s="7">
        <f>IFERROR(VLOOKUP(G577,'Base de faturamento'!A:C,2,FALSE),0)</f>
        <v>2964</v>
      </c>
      <c r="N577" s="8">
        <f>IFERROR(VLOOKUP(G577,'Base de faturamento'!A:C,3,FALSE),0)</f>
        <v>44676</v>
      </c>
      <c r="O577" s="8">
        <f t="shared" si="16"/>
        <v>44666</v>
      </c>
      <c r="P577" s="8">
        <f t="shared" si="17"/>
        <v>44682</v>
      </c>
    </row>
    <row r="578" spans="1:16" ht="15" x14ac:dyDescent="0.25">
      <c r="A578" s="2" t="s">
        <v>887</v>
      </c>
      <c r="B578" s="2" t="s">
        <v>21</v>
      </c>
      <c r="C578" s="3" t="str">
        <f>VLOOKUP(B578,Dados!$A$3:$B$10,2,FALSE)</f>
        <v>Time 1</v>
      </c>
      <c r="D578" s="2" t="s">
        <v>18</v>
      </c>
      <c r="E578" s="2" t="s">
        <v>25</v>
      </c>
      <c r="F578" s="4" t="s">
        <v>888</v>
      </c>
      <c r="G578" s="5" t="str">
        <f t="shared" si="12"/>
        <v>93752756573</v>
      </c>
      <c r="H578" s="6">
        <v>8374</v>
      </c>
      <c r="I578" s="6">
        <v>2949</v>
      </c>
      <c r="J578" s="7">
        <f t="shared" si="13"/>
        <v>5425</v>
      </c>
      <c r="K578" s="7">
        <f t="shared" si="14"/>
        <v>1085</v>
      </c>
      <c r="L578" s="7">
        <f t="shared" si="15"/>
        <v>1</v>
      </c>
      <c r="M578" s="7">
        <f>IFERROR(VLOOKUP(G578,'Base de faturamento'!A:C,2,FALSE),0)</f>
        <v>8374</v>
      </c>
      <c r="N578" s="8">
        <f>IFERROR(VLOOKUP(G578,'Base de faturamento'!A:C,3,FALSE),0)</f>
        <v>44736</v>
      </c>
      <c r="O578" s="8">
        <f t="shared" si="16"/>
        <v>44727</v>
      </c>
      <c r="P578" s="8">
        <f t="shared" si="17"/>
        <v>44743</v>
      </c>
    </row>
    <row r="579" spans="1:16" ht="15" x14ac:dyDescent="0.25">
      <c r="A579" s="2" t="s">
        <v>889</v>
      </c>
      <c r="B579" s="2" t="s">
        <v>33</v>
      </c>
      <c r="C579" s="3" t="str">
        <f>VLOOKUP(B579,Dados!$A$3:$B$10,2,FALSE)</f>
        <v>Time 1</v>
      </c>
      <c r="D579" s="2" t="s">
        <v>18</v>
      </c>
      <c r="E579" s="2" t="s">
        <v>19</v>
      </c>
      <c r="F579" s="4" t="s">
        <v>890</v>
      </c>
      <c r="G579" s="5" t="str">
        <f t="shared" si="12"/>
        <v>93934938968</v>
      </c>
      <c r="H579" s="6">
        <v>3487</v>
      </c>
      <c r="I579" s="6">
        <v>0</v>
      </c>
      <c r="J579" s="7">
        <f t="shared" si="13"/>
        <v>3487</v>
      </c>
      <c r="K579" s="7">
        <f t="shared" si="14"/>
        <v>697.40000000000009</v>
      </c>
      <c r="L579" s="7">
        <f t="shared" si="15"/>
        <v>1</v>
      </c>
      <c r="M579" s="7">
        <f>IFERROR(VLOOKUP(G579,'Base de faturamento'!A:C,2,FALSE),0)</f>
        <v>3487</v>
      </c>
      <c r="N579" s="8">
        <f>IFERROR(VLOOKUP(G579,'Base de faturamento'!A:C,3,FALSE),0)</f>
        <v>44675</v>
      </c>
      <c r="O579" s="8">
        <f t="shared" si="16"/>
        <v>44666</v>
      </c>
      <c r="P579" s="8">
        <f t="shared" si="17"/>
        <v>44682</v>
      </c>
    </row>
    <row r="580" spans="1:16" ht="15" x14ac:dyDescent="0.25">
      <c r="A580" s="2" t="s">
        <v>891</v>
      </c>
      <c r="B580" s="2" t="s">
        <v>17</v>
      </c>
      <c r="C580" s="3" t="str">
        <f>VLOOKUP(B580,Dados!$A$3:$B$10,2,FALSE)</f>
        <v>Time 3</v>
      </c>
      <c r="D580" s="2" t="s">
        <v>18</v>
      </c>
      <c r="E580" s="2" t="s">
        <v>25</v>
      </c>
      <c r="F580" s="4" t="s">
        <v>892</v>
      </c>
      <c r="G580" s="5" t="str">
        <f t="shared" si="12"/>
        <v>93993058113</v>
      </c>
      <c r="H580" s="6">
        <v>8211</v>
      </c>
      <c r="I580" s="6">
        <v>2170</v>
      </c>
      <c r="J580" s="7">
        <f t="shared" si="13"/>
        <v>6041</v>
      </c>
      <c r="K580" s="7">
        <f t="shared" si="14"/>
        <v>1208.2</v>
      </c>
      <c r="L580" s="7">
        <f t="shared" si="15"/>
        <v>1</v>
      </c>
      <c r="M580" s="7">
        <f>IFERROR(VLOOKUP(G580,'Base de faturamento'!A:C,2,FALSE),0)</f>
        <v>8211</v>
      </c>
      <c r="N580" s="8">
        <f>IFERROR(VLOOKUP(G580,'Base de faturamento'!A:C,3,FALSE),0)</f>
        <v>44661</v>
      </c>
      <c r="O580" s="8">
        <f t="shared" si="16"/>
        <v>44682</v>
      </c>
      <c r="P580" s="8">
        <f t="shared" si="17"/>
        <v>44682</v>
      </c>
    </row>
    <row r="581" spans="1:16" ht="15" x14ac:dyDescent="0.25">
      <c r="A581" s="2" t="s">
        <v>893</v>
      </c>
      <c r="B581" s="2" t="s">
        <v>21</v>
      </c>
      <c r="C581" s="3" t="str">
        <f>VLOOKUP(B581,Dados!$A$3:$B$10,2,FALSE)</f>
        <v>Time 1</v>
      </c>
      <c r="D581" s="2" t="s">
        <v>22</v>
      </c>
      <c r="E581" s="2" t="s">
        <v>25</v>
      </c>
      <c r="F581" s="4" t="s">
        <v>894</v>
      </c>
      <c r="G581" s="5" t="str">
        <f t="shared" si="12"/>
        <v>94294926090</v>
      </c>
      <c r="H581" s="6">
        <v>3480</v>
      </c>
      <c r="I581" s="6">
        <v>6081</v>
      </c>
      <c r="J581" s="7">
        <f t="shared" si="13"/>
        <v>0</v>
      </c>
      <c r="K581" s="7">
        <f t="shared" si="14"/>
        <v>0</v>
      </c>
      <c r="L581" s="7">
        <f t="shared" si="15"/>
        <v>0</v>
      </c>
      <c r="M581" s="7">
        <f>IFERROR(VLOOKUP(G581,'Base de faturamento'!A:C,2,FALSE),0)</f>
        <v>0</v>
      </c>
      <c r="N581" s="8">
        <f>IFERROR(VLOOKUP(G581,'Base de faturamento'!A:C,3,FALSE),0)</f>
        <v>0</v>
      </c>
      <c r="O581" s="8">
        <f t="shared" si="16"/>
        <v>15</v>
      </c>
      <c r="P581" s="9" t="b">
        <f t="shared" si="17"/>
        <v>0</v>
      </c>
    </row>
    <row r="582" spans="1:16" ht="15" x14ac:dyDescent="0.25">
      <c r="A582" s="2" t="s">
        <v>895</v>
      </c>
      <c r="B582" s="2" t="s">
        <v>33</v>
      </c>
      <c r="C582" s="3" t="str">
        <f>VLOOKUP(B582,Dados!$A$3:$B$10,2,FALSE)</f>
        <v>Time 1</v>
      </c>
      <c r="D582" s="2" t="s">
        <v>22</v>
      </c>
      <c r="E582" s="2" t="s">
        <v>25</v>
      </c>
      <c r="F582" s="4" t="s">
        <v>896</v>
      </c>
      <c r="G582" s="5" t="str">
        <f t="shared" si="12"/>
        <v>94361828420</v>
      </c>
      <c r="H582" s="6">
        <v>2644</v>
      </c>
      <c r="I582" s="6">
        <v>1902</v>
      </c>
      <c r="J582" s="7">
        <f t="shared" si="13"/>
        <v>742</v>
      </c>
      <c r="K582" s="7">
        <f t="shared" si="14"/>
        <v>0</v>
      </c>
      <c r="L582" s="7">
        <f t="shared" si="15"/>
        <v>0</v>
      </c>
      <c r="M582" s="7">
        <f>IFERROR(VLOOKUP(G582,'Base de faturamento'!A:C,2,FALSE),0)</f>
        <v>0</v>
      </c>
      <c r="N582" s="8">
        <f>IFERROR(VLOOKUP(G582,'Base de faturamento'!A:C,3,FALSE),0)</f>
        <v>0</v>
      </c>
      <c r="O582" s="8">
        <f t="shared" si="16"/>
        <v>15</v>
      </c>
      <c r="P582" s="9" t="b">
        <f t="shared" si="17"/>
        <v>0</v>
      </c>
    </row>
    <row r="583" spans="1:16" ht="15" x14ac:dyDescent="0.25">
      <c r="A583" s="2" t="s">
        <v>897</v>
      </c>
      <c r="B583" s="2" t="s">
        <v>36</v>
      </c>
      <c r="C583" s="3" t="str">
        <f>VLOOKUP(B583,Dados!$A$3:$B$10,2,FALSE)</f>
        <v>Time 1</v>
      </c>
      <c r="D583" s="2" t="s">
        <v>18</v>
      </c>
      <c r="E583" s="2" t="s">
        <v>19</v>
      </c>
      <c r="F583" s="4" t="s">
        <v>898</v>
      </c>
      <c r="G583" s="5" t="str">
        <f t="shared" si="12"/>
        <v>94712588299</v>
      </c>
      <c r="H583" s="6">
        <v>6705</v>
      </c>
      <c r="I583" s="6">
        <v>0</v>
      </c>
      <c r="J583" s="7">
        <f t="shared" si="13"/>
        <v>6705</v>
      </c>
      <c r="K583" s="7">
        <f t="shared" si="14"/>
        <v>1341</v>
      </c>
      <c r="L583" s="7">
        <f t="shared" si="15"/>
        <v>1</v>
      </c>
      <c r="M583" s="7">
        <f>IFERROR(VLOOKUP(G583,'Base de faturamento'!A:C,2,FALSE),0)</f>
        <v>6705</v>
      </c>
      <c r="N583" s="8">
        <f>IFERROR(VLOOKUP(G583,'Base de faturamento'!A:C,3,FALSE),0)</f>
        <v>44625</v>
      </c>
      <c r="O583" s="8">
        <f t="shared" si="16"/>
        <v>44635</v>
      </c>
      <c r="P583" s="8">
        <f t="shared" si="17"/>
        <v>44652</v>
      </c>
    </row>
    <row r="584" spans="1:16" ht="15" x14ac:dyDescent="0.25">
      <c r="A584" s="2" t="s">
        <v>899</v>
      </c>
      <c r="B584" s="2" t="s">
        <v>31</v>
      </c>
      <c r="C584" s="3" t="str">
        <f>VLOOKUP(B584,Dados!$A$3:$B$10,2,FALSE)</f>
        <v>Time 3</v>
      </c>
      <c r="D584" s="2" t="s">
        <v>18</v>
      </c>
      <c r="E584" s="2" t="s">
        <v>19</v>
      </c>
      <c r="F584" s="4" t="s">
        <v>900</v>
      </c>
      <c r="G584" s="5" t="str">
        <f t="shared" si="12"/>
        <v>95015903029</v>
      </c>
      <c r="H584" s="6">
        <v>9473</v>
      </c>
      <c r="I584" s="6">
        <v>0</v>
      </c>
      <c r="J584" s="7">
        <f t="shared" si="13"/>
        <v>9473</v>
      </c>
      <c r="K584" s="7">
        <f t="shared" si="14"/>
        <v>1894.6000000000001</v>
      </c>
      <c r="L584" s="7">
        <f t="shared" si="15"/>
        <v>1</v>
      </c>
      <c r="M584" s="7">
        <f>IFERROR(VLOOKUP(G584,'Base de faturamento'!A:C,2,FALSE),0)</f>
        <v>9473</v>
      </c>
      <c r="N584" s="8">
        <f>IFERROR(VLOOKUP(G584,'Base de faturamento'!A:C,3,FALSE),0)</f>
        <v>44719</v>
      </c>
      <c r="O584" s="8">
        <f t="shared" si="16"/>
        <v>44743</v>
      </c>
      <c r="P584" s="8">
        <f t="shared" si="17"/>
        <v>44743</v>
      </c>
    </row>
    <row r="585" spans="1:16" ht="15" x14ac:dyDescent="0.25">
      <c r="A585" s="2" t="s">
        <v>901</v>
      </c>
      <c r="B585" s="2" t="s">
        <v>33</v>
      </c>
      <c r="C585" s="3" t="str">
        <f>VLOOKUP(B585,Dados!$A$3:$B$10,2,FALSE)</f>
        <v>Time 1</v>
      </c>
      <c r="D585" s="2" t="s">
        <v>18</v>
      </c>
      <c r="E585" s="2" t="s">
        <v>19</v>
      </c>
      <c r="F585" s="4" t="s">
        <v>902</v>
      </c>
      <c r="G585" s="5" t="str">
        <f t="shared" si="12"/>
        <v>95038389449</v>
      </c>
      <c r="H585" s="6">
        <v>5149</v>
      </c>
      <c r="I585" s="6">
        <v>0</v>
      </c>
      <c r="J585" s="7">
        <f t="shared" si="13"/>
        <v>5149</v>
      </c>
      <c r="K585" s="7">
        <f t="shared" si="14"/>
        <v>1029.8</v>
      </c>
      <c r="L585" s="7">
        <f t="shared" si="15"/>
        <v>1</v>
      </c>
      <c r="M585" s="7">
        <f>IFERROR(VLOOKUP(G585,'Base de faturamento'!A:C,2,FALSE),0)</f>
        <v>5149</v>
      </c>
      <c r="N585" s="8">
        <f>IFERROR(VLOOKUP(G585,'Base de faturamento'!A:C,3,FALSE),0)</f>
        <v>44623</v>
      </c>
      <c r="O585" s="8">
        <f t="shared" si="16"/>
        <v>44635</v>
      </c>
      <c r="P585" s="8">
        <f t="shared" si="17"/>
        <v>44652</v>
      </c>
    </row>
    <row r="586" spans="1:16" ht="15" x14ac:dyDescent="0.25">
      <c r="A586" s="2" t="s">
        <v>903</v>
      </c>
      <c r="B586" s="2" t="s">
        <v>31</v>
      </c>
      <c r="C586" s="3" t="str">
        <f>VLOOKUP(B586,Dados!$A$3:$B$10,2,FALSE)</f>
        <v>Time 3</v>
      </c>
      <c r="D586" s="2" t="s">
        <v>18</v>
      </c>
      <c r="E586" s="2" t="s">
        <v>25</v>
      </c>
      <c r="F586" s="4" t="s">
        <v>904</v>
      </c>
      <c r="G586" s="5" t="str">
        <f t="shared" si="12"/>
        <v>95062388452</v>
      </c>
      <c r="H586" s="6">
        <v>2302</v>
      </c>
      <c r="I586" s="6">
        <v>4190</v>
      </c>
      <c r="J586" s="7">
        <f t="shared" si="13"/>
        <v>0</v>
      </c>
      <c r="K586" s="7">
        <f t="shared" si="14"/>
        <v>0</v>
      </c>
      <c r="L586" s="7">
        <f t="shared" si="15"/>
        <v>1</v>
      </c>
      <c r="M586" s="7">
        <f>IFERROR(VLOOKUP(G586,'Base de faturamento'!A:C,2,FALSE),0)</f>
        <v>2302</v>
      </c>
      <c r="N586" s="8">
        <f>IFERROR(VLOOKUP(G586,'Base de faturamento'!A:C,3,FALSE),0)</f>
        <v>44662</v>
      </c>
      <c r="O586" s="8">
        <f t="shared" si="16"/>
        <v>44682</v>
      </c>
      <c r="P586" s="8">
        <f t="shared" si="17"/>
        <v>44682</v>
      </c>
    </row>
    <row r="587" spans="1:16" ht="15" x14ac:dyDescent="0.25">
      <c r="A587" s="2" t="s">
        <v>905</v>
      </c>
      <c r="B587" s="2" t="s">
        <v>29</v>
      </c>
      <c r="C587" s="3" t="str">
        <f>VLOOKUP(B587,Dados!$A$3:$B$10,2,FALSE)</f>
        <v>Time 2</v>
      </c>
      <c r="D587" s="2" t="s">
        <v>22</v>
      </c>
      <c r="E587" s="2" t="s">
        <v>25</v>
      </c>
      <c r="F587" s="4" t="s">
        <v>906</v>
      </c>
      <c r="G587" s="5" t="str">
        <f t="shared" si="12"/>
        <v>95597457629</v>
      </c>
      <c r="H587" s="6">
        <v>7242</v>
      </c>
      <c r="I587" s="6">
        <v>9378</v>
      </c>
      <c r="J587" s="7">
        <f t="shared" si="13"/>
        <v>0</v>
      </c>
      <c r="K587" s="7">
        <f t="shared" si="14"/>
        <v>0</v>
      </c>
      <c r="L587" s="7">
        <f t="shared" si="15"/>
        <v>0</v>
      </c>
      <c r="M587" s="7">
        <f>IFERROR(VLOOKUP(G587,'Base de faturamento'!A:C,2,FALSE),0)</f>
        <v>0</v>
      </c>
      <c r="N587" s="8">
        <f>IFERROR(VLOOKUP(G587,'Base de faturamento'!A:C,3,FALSE),0)</f>
        <v>0</v>
      </c>
      <c r="O587" s="8">
        <f t="shared" si="16"/>
        <v>32</v>
      </c>
      <c r="P587" s="9" t="b">
        <f t="shared" si="17"/>
        <v>0</v>
      </c>
    </row>
    <row r="588" spans="1:16" ht="15" x14ac:dyDescent="0.25">
      <c r="A588" s="2" t="s">
        <v>907</v>
      </c>
      <c r="B588" s="2" t="s">
        <v>21</v>
      </c>
      <c r="C588" s="3" t="str">
        <f>VLOOKUP(B588,Dados!$A$3:$B$10,2,FALSE)</f>
        <v>Time 1</v>
      </c>
      <c r="D588" s="2" t="s">
        <v>18</v>
      </c>
      <c r="E588" s="2" t="s">
        <v>25</v>
      </c>
      <c r="F588" s="4" t="s">
        <v>908</v>
      </c>
      <c r="G588" s="5" t="str">
        <f t="shared" si="12"/>
        <v>96289883284</v>
      </c>
      <c r="H588" s="6">
        <v>7921</v>
      </c>
      <c r="I588" s="6">
        <v>2951</v>
      </c>
      <c r="J588" s="7">
        <f t="shared" si="13"/>
        <v>4970</v>
      </c>
      <c r="K588" s="7">
        <f t="shared" si="14"/>
        <v>994</v>
      </c>
      <c r="L588" s="7">
        <f t="shared" si="15"/>
        <v>1</v>
      </c>
      <c r="M588" s="7">
        <f>IFERROR(VLOOKUP(G588,'Base de faturamento'!A:C,2,FALSE),0)</f>
        <v>7921</v>
      </c>
      <c r="N588" s="8">
        <f>IFERROR(VLOOKUP(G588,'Base de faturamento'!A:C,3,FALSE),0)</f>
        <v>44729</v>
      </c>
      <c r="O588" s="8">
        <f t="shared" si="16"/>
        <v>44727</v>
      </c>
      <c r="P588" s="8">
        <f t="shared" si="17"/>
        <v>44743</v>
      </c>
    </row>
    <row r="589" spans="1:16" ht="15" x14ac:dyDescent="0.25">
      <c r="A589" s="2" t="s">
        <v>909</v>
      </c>
      <c r="B589" s="2" t="s">
        <v>17</v>
      </c>
      <c r="C589" s="3" t="str">
        <f>VLOOKUP(B589,Dados!$A$3:$B$10,2,FALSE)</f>
        <v>Time 3</v>
      </c>
      <c r="D589" s="2" t="s">
        <v>22</v>
      </c>
      <c r="E589" s="2" t="s">
        <v>19</v>
      </c>
      <c r="F589" s="4" t="s">
        <v>910</v>
      </c>
      <c r="G589" s="5" t="str">
        <f t="shared" si="12"/>
        <v>96349894899</v>
      </c>
      <c r="H589" s="6">
        <v>8546</v>
      </c>
      <c r="I589" s="6">
        <v>0</v>
      </c>
      <c r="J589" s="7">
        <f t="shared" si="13"/>
        <v>8546</v>
      </c>
      <c r="K589" s="7">
        <f t="shared" si="14"/>
        <v>2563.7999999999997</v>
      </c>
      <c r="L589" s="7">
        <f t="shared" si="15"/>
        <v>1</v>
      </c>
      <c r="M589" s="7">
        <f>IFERROR(VLOOKUP(G589,'Base de faturamento'!A:C,2,FALSE),0)</f>
        <v>8546</v>
      </c>
      <c r="N589" s="8">
        <f>IFERROR(VLOOKUP(G589,'Base de faturamento'!A:C,3,FALSE),0)</f>
        <v>44734</v>
      </c>
      <c r="O589" s="8">
        <f t="shared" si="16"/>
        <v>44743</v>
      </c>
      <c r="P589" s="8">
        <f t="shared" si="17"/>
        <v>44743</v>
      </c>
    </row>
    <row r="590" spans="1:16" ht="15" x14ac:dyDescent="0.25">
      <c r="A590" s="2" t="s">
        <v>911</v>
      </c>
      <c r="B590" s="2" t="s">
        <v>17</v>
      </c>
      <c r="C590" s="3" t="str">
        <f>VLOOKUP(B590,Dados!$A$3:$B$10,2,FALSE)</f>
        <v>Time 3</v>
      </c>
      <c r="D590" s="2" t="s">
        <v>18</v>
      </c>
      <c r="E590" s="2" t="s">
        <v>19</v>
      </c>
      <c r="F590" s="4" t="s">
        <v>912</v>
      </c>
      <c r="G590" s="5" t="str">
        <f t="shared" si="12"/>
        <v>97288206297</v>
      </c>
      <c r="H590" s="6">
        <v>8529</v>
      </c>
      <c r="I590" s="6">
        <v>0</v>
      </c>
      <c r="J590" s="7">
        <f t="shared" si="13"/>
        <v>8529</v>
      </c>
      <c r="K590" s="7">
        <f t="shared" si="14"/>
        <v>1705.8000000000002</v>
      </c>
      <c r="L590" s="7">
        <f t="shared" si="15"/>
        <v>1</v>
      </c>
      <c r="M590" s="7">
        <f>IFERROR(VLOOKUP(G590,'Base de faturamento'!A:C,2,FALSE),0)</f>
        <v>8529</v>
      </c>
      <c r="N590" s="8">
        <f>IFERROR(VLOOKUP(G590,'Base de faturamento'!A:C,3,FALSE),0)</f>
        <v>44731</v>
      </c>
      <c r="O590" s="8">
        <f t="shared" si="16"/>
        <v>44743</v>
      </c>
      <c r="P590" s="8">
        <f t="shared" si="17"/>
        <v>44743</v>
      </c>
    </row>
    <row r="591" spans="1:16" ht="15" x14ac:dyDescent="0.25">
      <c r="A591" s="2" t="s">
        <v>913</v>
      </c>
      <c r="B591" s="2" t="s">
        <v>17</v>
      </c>
      <c r="C591" s="3" t="str">
        <f>VLOOKUP(B591,Dados!$A$3:$B$10,2,FALSE)</f>
        <v>Time 3</v>
      </c>
      <c r="D591" s="2" t="s">
        <v>18</v>
      </c>
      <c r="E591" s="2" t="s">
        <v>25</v>
      </c>
      <c r="F591" s="4" t="s">
        <v>914</v>
      </c>
      <c r="G591" s="5" t="str">
        <f t="shared" si="12"/>
        <v>97385830152</v>
      </c>
      <c r="H591" s="6">
        <v>1498</v>
      </c>
      <c r="I591" s="6">
        <v>4102</v>
      </c>
      <c r="J591" s="7">
        <f t="shared" si="13"/>
        <v>0</v>
      </c>
      <c r="K591" s="7">
        <f t="shared" si="14"/>
        <v>0</v>
      </c>
      <c r="L591" s="7">
        <f t="shared" si="15"/>
        <v>1</v>
      </c>
      <c r="M591" s="7">
        <f>IFERROR(VLOOKUP(G591,'Base de faturamento'!A:C,2,FALSE),0)</f>
        <v>1498</v>
      </c>
      <c r="N591" s="8">
        <f>IFERROR(VLOOKUP(G591,'Base de faturamento'!A:C,3,FALSE),0)</f>
        <v>44654</v>
      </c>
      <c r="O591" s="8">
        <f t="shared" si="16"/>
        <v>44682</v>
      </c>
      <c r="P591" s="8">
        <f t="shared" si="17"/>
        <v>44682</v>
      </c>
    </row>
    <row r="592" spans="1:16" ht="15" x14ac:dyDescent="0.25">
      <c r="A592" s="2" t="s">
        <v>915</v>
      </c>
      <c r="B592" s="2" t="s">
        <v>24</v>
      </c>
      <c r="C592" s="3" t="str">
        <f>VLOOKUP(B592,Dados!$A$3:$B$10,2,FALSE)</f>
        <v>Time 2</v>
      </c>
      <c r="D592" s="2" t="s">
        <v>22</v>
      </c>
      <c r="E592" s="2" t="s">
        <v>19</v>
      </c>
      <c r="F592" s="4" t="s">
        <v>916</v>
      </c>
      <c r="G592" s="5" t="str">
        <f t="shared" si="12"/>
        <v>97456268029</v>
      </c>
      <c r="H592" s="6">
        <v>4146</v>
      </c>
      <c r="I592" s="6">
        <v>0</v>
      </c>
      <c r="J592" s="7">
        <f t="shared" si="13"/>
        <v>4146</v>
      </c>
      <c r="K592" s="7">
        <f t="shared" si="14"/>
        <v>1243.8</v>
      </c>
      <c r="L592" s="7">
        <f t="shared" si="15"/>
        <v>1</v>
      </c>
      <c r="M592" s="7">
        <f>IFERROR(VLOOKUP(G592,'Base de faturamento'!A:C,2,FALSE),0)</f>
        <v>4146</v>
      </c>
      <c r="N592" s="8">
        <f>IFERROR(VLOOKUP(G592,'Base de faturamento'!A:C,3,FALSE),0)</f>
        <v>44655</v>
      </c>
      <c r="O592" s="8">
        <f t="shared" si="16"/>
        <v>44682</v>
      </c>
      <c r="P592" s="8">
        <f t="shared" si="17"/>
        <v>44682</v>
      </c>
    </row>
    <row r="593" spans="1:16" ht="15" x14ac:dyDescent="0.25">
      <c r="A593" s="2" t="s">
        <v>917</v>
      </c>
      <c r="B593" s="2" t="s">
        <v>33</v>
      </c>
      <c r="C593" s="3" t="str">
        <f>VLOOKUP(B593,Dados!$A$3:$B$10,2,FALSE)</f>
        <v>Time 1</v>
      </c>
      <c r="D593" s="2" t="s">
        <v>22</v>
      </c>
      <c r="E593" s="2" t="s">
        <v>25</v>
      </c>
      <c r="F593" s="4" t="s">
        <v>918</v>
      </c>
      <c r="G593" s="5" t="str">
        <f t="shared" si="12"/>
        <v>97462368699</v>
      </c>
      <c r="H593" s="6">
        <v>4417</v>
      </c>
      <c r="I593" s="6">
        <v>7172</v>
      </c>
      <c r="J593" s="7">
        <f t="shared" si="13"/>
        <v>0</v>
      </c>
      <c r="K593" s="7">
        <f t="shared" si="14"/>
        <v>0</v>
      </c>
      <c r="L593" s="7">
        <f t="shared" si="15"/>
        <v>1</v>
      </c>
      <c r="M593" s="7">
        <f>IFERROR(VLOOKUP(G593,'Base de faturamento'!A:C,2,FALSE),0)</f>
        <v>4417</v>
      </c>
      <c r="N593" s="8">
        <f>IFERROR(VLOOKUP(G593,'Base de faturamento'!A:C,3,FALSE),0)</f>
        <v>44621</v>
      </c>
      <c r="O593" s="8">
        <f t="shared" si="16"/>
        <v>44635</v>
      </c>
      <c r="P593" s="8">
        <f t="shared" si="17"/>
        <v>44652</v>
      </c>
    </row>
    <row r="594" spans="1:16" ht="15" x14ac:dyDescent="0.25">
      <c r="A594" s="2" t="s">
        <v>919</v>
      </c>
      <c r="B594" s="2" t="s">
        <v>33</v>
      </c>
      <c r="C594" s="3" t="str">
        <f>VLOOKUP(B594,Dados!$A$3:$B$10,2,FALSE)</f>
        <v>Time 1</v>
      </c>
      <c r="D594" s="2" t="s">
        <v>22</v>
      </c>
      <c r="E594" s="2" t="s">
        <v>19</v>
      </c>
      <c r="F594" s="4" t="s">
        <v>920</v>
      </c>
      <c r="G594" s="5" t="str">
        <f t="shared" si="12"/>
        <v>98009029694</v>
      </c>
      <c r="H594" s="6">
        <v>4382</v>
      </c>
      <c r="I594" s="6">
        <v>0</v>
      </c>
      <c r="J594" s="7">
        <f t="shared" si="13"/>
        <v>4382</v>
      </c>
      <c r="K594" s="7">
        <f t="shared" si="14"/>
        <v>1314.6</v>
      </c>
      <c r="L594" s="7">
        <f t="shared" si="15"/>
        <v>1</v>
      </c>
      <c r="M594" s="7">
        <f>IFERROR(VLOOKUP(G594,'Base de faturamento'!A:C,2,FALSE),0)</f>
        <v>4382</v>
      </c>
      <c r="N594" s="8">
        <f>IFERROR(VLOOKUP(G594,'Base de faturamento'!A:C,3,FALSE),0)</f>
        <v>44650</v>
      </c>
      <c r="O594" s="8">
        <f t="shared" si="16"/>
        <v>44635</v>
      </c>
      <c r="P594" s="8">
        <f t="shared" si="17"/>
        <v>44652</v>
      </c>
    </row>
    <row r="595" spans="1:16" ht="15" x14ac:dyDescent="0.25">
      <c r="A595" s="2" t="s">
        <v>921</v>
      </c>
      <c r="B595" s="2" t="s">
        <v>21</v>
      </c>
      <c r="C595" s="3" t="str">
        <f>VLOOKUP(B595,Dados!$A$3:$B$10,2,FALSE)</f>
        <v>Time 1</v>
      </c>
      <c r="D595" s="2" t="s">
        <v>22</v>
      </c>
      <c r="E595" s="2" t="s">
        <v>25</v>
      </c>
      <c r="F595" s="4" t="s">
        <v>922</v>
      </c>
      <c r="G595" s="5" t="str">
        <f t="shared" si="12"/>
        <v>98294972893</v>
      </c>
      <c r="H595" s="6">
        <v>9928</v>
      </c>
      <c r="I595" s="6">
        <v>2292</v>
      </c>
      <c r="J595" s="7">
        <f t="shared" si="13"/>
        <v>7636</v>
      </c>
      <c r="K595" s="7">
        <f t="shared" si="14"/>
        <v>0</v>
      </c>
      <c r="L595" s="7">
        <f t="shared" si="15"/>
        <v>0</v>
      </c>
      <c r="M595" s="7">
        <f>IFERROR(VLOOKUP(G595,'Base de faturamento'!A:C,2,FALSE),0)</f>
        <v>0</v>
      </c>
      <c r="N595" s="8">
        <f>IFERROR(VLOOKUP(G595,'Base de faturamento'!A:C,3,FALSE),0)</f>
        <v>0</v>
      </c>
      <c r="O595" s="8">
        <f t="shared" si="16"/>
        <v>15</v>
      </c>
      <c r="P595" s="9" t="b">
        <f t="shared" si="17"/>
        <v>0</v>
      </c>
    </row>
    <row r="596" spans="1:16" ht="15" x14ac:dyDescent="0.25">
      <c r="A596" s="2" t="s">
        <v>923</v>
      </c>
      <c r="B596" s="2" t="s">
        <v>29</v>
      </c>
      <c r="C596" s="3" t="str">
        <f>VLOOKUP(B596,Dados!$A$3:$B$10,2,FALSE)</f>
        <v>Time 2</v>
      </c>
      <c r="D596" s="2" t="s">
        <v>22</v>
      </c>
      <c r="E596" s="2" t="s">
        <v>25</v>
      </c>
      <c r="F596" s="4" t="s">
        <v>924</v>
      </c>
      <c r="G596" s="5" t="str">
        <f t="shared" si="12"/>
        <v>98362986393</v>
      </c>
      <c r="H596" s="6">
        <v>5370</v>
      </c>
      <c r="I596" s="6">
        <v>1938</v>
      </c>
      <c r="J596" s="7">
        <f t="shared" si="13"/>
        <v>3432</v>
      </c>
      <c r="K596" s="7">
        <f t="shared" si="14"/>
        <v>1029.5999999999999</v>
      </c>
      <c r="L596" s="7">
        <f t="shared" si="15"/>
        <v>1</v>
      </c>
      <c r="M596" s="7">
        <f>IFERROR(VLOOKUP(G596,'Base de faturamento'!A:C,2,FALSE),0)</f>
        <v>5370</v>
      </c>
      <c r="N596" s="8">
        <f>IFERROR(VLOOKUP(G596,'Base de faturamento'!A:C,3,FALSE),0)</f>
        <v>44654</v>
      </c>
      <c r="O596" s="8">
        <f t="shared" si="16"/>
        <v>44682</v>
      </c>
      <c r="P596" s="8">
        <f t="shared" si="17"/>
        <v>44682</v>
      </c>
    </row>
    <row r="597" spans="1:16" ht="15" x14ac:dyDescent="0.25">
      <c r="A597" s="2" t="s">
        <v>925</v>
      </c>
      <c r="B597" s="2" t="s">
        <v>29</v>
      </c>
      <c r="C597" s="3" t="str">
        <f>VLOOKUP(B597,Dados!$A$3:$B$10,2,FALSE)</f>
        <v>Time 2</v>
      </c>
      <c r="D597" s="2" t="s">
        <v>22</v>
      </c>
      <c r="E597" s="2" t="s">
        <v>19</v>
      </c>
      <c r="F597" s="4" t="s">
        <v>926</v>
      </c>
      <c r="G597" s="5" t="str">
        <f t="shared" si="12"/>
        <v>98844543875</v>
      </c>
      <c r="H597" s="6">
        <v>8866</v>
      </c>
      <c r="I597" s="6">
        <v>0</v>
      </c>
      <c r="J597" s="7">
        <f t="shared" si="13"/>
        <v>8866</v>
      </c>
      <c r="K597" s="7">
        <f t="shared" si="14"/>
        <v>2659.7999999999997</v>
      </c>
      <c r="L597" s="7">
        <f t="shared" si="15"/>
        <v>1</v>
      </c>
      <c r="M597" s="7">
        <f>IFERROR(VLOOKUP(G597,'Base de faturamento'!A:C,2,FALSE),0)</f>
        <v>8866</v>
      </c>
      <c r="N597" s="8">
        <f>IFERROR(VLOOKUP(G597,'Base de faturamento'!A:C,3,FALSE),0)</f>
        <v>44703</v>
      </c>
      <c r="O597" s="8">
        <f t="shared" si="16"/>
        <v>44713</v>
      </c>
      <c r="P597" s="8">
        <f t="shared" si="17"/>
        <v>44713</v>
      </c>
    </row>
    <row r="598" spans="1:16" ht="15" x14ac:dyDescent="0.25">
      <c r="A598" s="2" t="s">
        <v>927</v>
      </c>
      <c r="B598" s="2" t="s">
        <v>27</v>
      </c>
      <c r="C598" s="3" t="str">
        <f>VLOOKUP(B598,Dados!$A$3:$B$10,2,FALSE)</f>
        <v>Time 2</v>
      </c>
      <c r="D598" s="2" t="s">
        <v>22</v>
      </c>
      <c r="E598" s="2" t="s">
        <v>19</v>
      </c>
      <c r="F598" s="4" t="s">
        <v>928</v>
      </c>
      <c r="G598" s="5" t="str">
        <f t="shared" si="12"/>
        <v>98958587327</v>
      </c>
      <c r="H598" s="6">
        <v>2031</v>
      </c>
      <c r="I598" s="6">
        <v>0</v>
      </c>
      <c r="J598" s="7">
        <f t="shared" si="13"/>
        <v>2031</v>
      </c>
      <c r="K598" s="7">
        <f t="shared" si="14"/>
        <v>609.29999999999995</v>
      </c>
      <c r="L598" s="7">
        <f t="shared" si="15"/>
        <v>1</v>
      </c>
      <c r="M598" s="7">
        <f>IFERROR(VLOOKUP(G598,'Base de faturamento'!A:C,2,FALSE),0)</f>
        <v>2031</v>
      </c>
      <c r="N598" s="8">
        <f>IFERROR(VLOOKUP(G598,'Base de faturamento'!A:C,3,FALSE),0)</f>
        <v>44732</v>
      </c>
      <c r="O598" s="8">
        <f t="shared" si="16"/>
        <v>44743</v>
      </c>
      <c r="P598" s="8">
        <f t="shared" si="17"/>
        <v>44743</v>
      </c>
    </row>
    <row r="599" spans="1:16" ht="15" x14ac:dyDescent="0.25">
      <c r="A599" s="2" t="s">
        <v>929</v>
      </c>
      <c r="B599" s="2" t="s">
        <v>31</v>
      </c>
      <c r="C599" s="3" t="str">
        <f>VLOOKUP(B599,Dados!$A$3:$B$10,2,FALSE)</f>
        <v>Time 3</v>
      </c>
      <c r="D599" s="2" t="s">
        <v>22</v>
      </c>
      <c r="E599" s="2" t="s">
        <v>25</v>
      </c>
      <c r="F599" s="4" t="s">
        <v>930</v>
      </c>
      <c r="G599" s="5" t="str">
        <f t="shared" si="12"/>
        <v>99854789940</v>
      </c>
      <c r="H599" s="6">
        <v>3121</v>
      </c>
      <c r="I599" s="6">
        <v>6461</v>
      </c>
      <c r="J599" s="7">
        <f t="shared" si="13"/>
        <v>0</v>
      </c>
      <c r="K599" s="7">
        <f t="shared" si="14"/>
        <v>0</v>
      </c>
      <c r="L599" s="7">
        <f t="shared" si="15"/>
        <v>1</v>
      </c>
      <c r="M599" s="7">
        <f>IFERROR(VLOOKUP(G599,'Base de faturamento'!A:C,2,FALSE),0)</f>
        <v>3121</v>
      </c>
      <c r="N599" s="8">
        <f>IFERROR(VLOOKUP(G599,'Base de faturamento'!A:C,3,FALSE),0)</f>
        <v>44717</v>
      </c>
      <c r="O599" s="8">
        <f t="shared" si="16"/>
        <v>44743</v>
      </c>
      <c r="P599" s="8">
        <f t="shared" si="17"/>
        <v>44743</v>
      </c>
    </row>
    <row r="600" spans="1:16" ht="15" x14ac:dyDescent="0.25">
      <c r="A600" s="2" t="s">
        <v>931</v>
      </c>
      <c r="B600" s="2" t="s">
        <v>24</v>
      </c>
      <c r="C600" s="3" t="str">
        <f>VLOOKUP(B600,Dados!$A$3:$B$10,2,FALSE)</f>
        <v>Time 2</v>
      </c>
      <c r="D600" s="2" t="s">
        <v>22</v>
      </c>
      <c r="E600" s="2" t="s">
        <v>25</v>
      </c>
      <c r="F600" s="4" t="s">
        <v>932</v>
      </c>
      <c r="G600" s="5" t="str">
        <f t="shared" si="12"/>
        <v>99947992666</v>
      </c>
      <c r="H600" s="6">
        <v>8321</v>
      </c>
      <c r="I600" s="6">
        <v>9455</v>
      </c>
      <c r="J600" s="7">
        <f t="shared" si="13"/>
        <v>0</v>
      </c>
      <c r="K600" s="7">
        <f t="shared" si="14"/>
        <v>0</v>
      </c>
      <c r="L600" s="7">
        <f t="shared" si="15"/>
        <v>1</v>
      </c>
      <c r="M600" s="7">
        <f>IFERROR(VLOOKUP(G600,'Base de faturamento'!A:C,2,FALSE),0)</f>
        <v>8321</v>
      </c>
      <c r="N600" s="8">
        <f>IFERROR(VLOOKUP(G600,'Base de faturamento'!A:C,3,FALSE),0)</f>
        <v>44679</v>
      </c>
      <c r="O600" s="8">
        <f t="shared" si="16"/>
        <v>44682</v>
      </c>
      <c r="P600" s="8">
        <f t="shared" si="17"/>
        <v>44682</v>
      </c>
    </row>
    <row r="601" spans="1:16" ht="15" x14ac:dyDescent="0.25">
      <c r="A601" s="2" t="s">
        <v>933</v>
      </c>
      <c r="B601" s="2" t="s">
        <v>31</v>
      </c>
      <c r="C601" s="3" t="str">
        <f>VLOOKUP(B601,Dados!$A$3:$B$10,2,FALSE)</f>
        <v>Time 3</v>
      </c>
      <c r="D601" s="2" t="s">
        <v>22</v>
      </c>
      <c r="E601" s="2" t="s">
        <v>25</v>
      </c>
      <c r="F601" s="4" t="s">
        <v>934</v>
      </c>
      <c r="G601" s="5" t="str">
        <f t="shared" si="12"/>
        <v>99954304075</v>
      </c>
      <c r="H601" s="6">
        <v>1716</v>
      </c>
      <c r="I601" s="6">
        <v>2809</v>
      </c>
      <c r="J601" s="7">
        <f t="shared" si="13"/>
        <v>0</v>
      </c>
      <c r="K601" s="7">
        <f t="shared" si="14"/>
        <v>0</v>
      </c>
      <c r="L601" s="7">
        <f t="shared" si="15"/>
        <v>1</v>
      </c>
      <c r="M601" s="7">
        <f>IFERROR(VLOOKUP(G601,'Base de faturamento'!A:C,2,FALSE),0)</f>
        <v>1716</v>
      </c>
      <c r="N601" s="8">
        <f>IFERROR(VLOOKUP(G601,'Base de faturamento'!A:C,3,FALSE),0)</f>
        <v>44671</v>
      </c>
      <c r="O601" s="8">
        <f t="shared" si="16"/>
        <v>44682</v>
      </c>
      <c r="P601" s="8">
        <f t="shared" si="17"/>
        <v>44682</v>
      </c>
    </row>
    <row r="602" spans="1:16" ht="15" x14ac:dyDescent="0.25">
      <c r="A602" s="2" t="s">
        <v>935</v>
      </c>
      <c r="B602" s="2" t="s">
        <v>29</v>
      </c>
      <c r="C602" s="3" t="str">
        <f>VLOOKUP(B602,Dados!$A$3:$B$10,2,FALSE)</f>
        <v>Time 2</v>
      </c>
      <c r="D602" s="2" t="s">
        <v>18</v>
      </c>
      <c r="E602" s="2" t="s">
        <v>25</v>
      </c>
      <c r="F602" s="4" t="s">
        <v>936</v>
      </c>
      <c r="G602" s="5" t="str">
        <f t="shared" si="12"/>
        <v>99963470190</v>
      </c>
      <c r="H602" s="6">
        <v>2589</v>
      </c>
      <c r="I602" s="6">
        <v>7627</v>
      </c>
      <c r="J602" s="7">
        <f t="shared" si="13"/>
        <v>0</v>
      </c>
      <c r="K602" s="7">
        <f t="shared" si="14"/>
        <v>0</v>
      </c>
      <c r="L602" s="7">
        <f t="shared" si="15"/>
        <v>1</v>
      </c>
      <c r="M602" s="7">
        <f>IFERROR(VLOOKUP(G602,'Base de faturamento'!A:C,2,FALSE),0)</f>
        <v>2589</v>
      </c>
      <c r="N602" s="8">
        <f>IFERROR(VLOOKUP(G602,'Base de faturamento'!A:C,3,FALSE),0)</f>
        <v>44669</v>
      </c>
      <c r="O602" s="8">
        <f t="shared" si="16"/>
        <v>44682</v>
      </c>
      <c r="P602" s="8">
        <f t="shared" si="17"/>
        <v>44682</v>
      </c>
    </row>
    <row r="603" spans="1:16" ht="12.75" x14ac:dyDescent="0.2">
      <c r="C603" s="3"/>
    </row>
    <row r="604" spans="1:16" ht="12.75" x14ac:dyDescent="0.2">
      <c r="C604" s="3"/>
    </row>
    <row r="605" spans="1:16" ht="12.75" x14ac:dyDescent="0.2">
      <c r="C605" s="3"/>
    </row>
    <row r="606" spans="1:16" ht="12.75" x14ac:dyDescent="0.2">
      <c r="C606" s="3"/>
    </row>
    <row r="607" spans="1:16" ht="12.75" x14ac:dyDescent="0.2">
      <c r="C607" s="3"/>
    </row>
    <row r="608" spans="1:16" ht="12.75" x14ac:dyDescent="0.2">
      <c r="C608" s="3"/>
    </row>
    <row r="609" spans="3:3" ht="12.75" x14ac:dyDescent="0.2">
      <c r="C609" s="3"/>
    </row>
    <row r="610" spans="3:3" ht="12.75" x14ac:dyDescent="0.2">
      <c r="C610" s="3"/>
    </row>
    <row r="611" spans="3:3" ht="12.75" x14ac:dyDescent="0.2">
      <c r="C611" s="3"/>
    </row>
    <row r="612" spans="3:3" ht="12.75" x14ac:dyDescent="0.2">
      <c r="C612" s="3"/>
    </row>
    <row r="613" spans="3:3" ht="12.75" x14ac:dyDescent="0.2">
      <c r="C613" s="3"/>
    </row>
    <row r="614" spans="3:3" ht="12.75" x14ac:dyDescent="0.2">
      <c r="C614" s="3"/>
    </row>
    <row r="615" spans="3:3" ht="12.75" x14ac:dyDescent="0.2">
      <c r="C615" s="3"/>
    </row>
    <row r="616" spans="3:3" ht="12.75" x14ac:dyDescent="0.2">
      <c r="C616" s="3"/>
    </row>
    <row r="617" spans="3:3" ht="12.75" x14ac:dyDescent="0.2">
      <c r="C617" s="3"/>
    </row>
    <row r="618" spans="3:3" ht="12.75" x14ac:dyDescent="0.2">
      <c r="C618" s="3"/>
    </row>
    <row r="619" spans="3:3" ht="12.75" x14ac:dyDescent="0.2">
      <c r="C619" s="3"/>
    </row>
    <row r="620" spans="3:3" ht="12.75" x14ac:dyDescent="0.2">
      <c r="C620" s="3"/>
    </row>
    <row r="621" spans="3:3" ht="12.75" x14ac:dyDescent="0.2">
      <c r="C621" s="3"/>
    </row>
    <row r="622" spans="3:3" ht="12.75" x14ac:dyDescent="0.2">
      <c r="C622" s="3"/>
    </row>
    <row r="623" spans="3:3" ht="12.75" x14ac:dyDescent="0.2">
      <c r="C623" s="3"/>
    </row>
    <row r="624" spans="3:3" ht="12.75" x14ac:dyDescent="0.2">
      <c r="C624" s="3"/>
    </row>
    <row r="625" spans="3:3" ht="12.75" x14ac:dyDescent="0.2">
      <c r="C625" s="3"/>
    </row>
    <row r="626" spans="3:3" ht="12.75" x14ac:dyDescent="0.2">
      <c r="C626" s="3"/>
    </row>
    <row r="627" spans="3:3" ht="12.75" x14ac:dyDescent="0.2">
      <c r="C627" s="3"/>
    </row>
    <row r="628" spans="3:3" ht="12.75" x14ac:dyDescent="0.2">
      <c r="C628" s="3"/>
    </row>
    <row r="629" spans="3:3" ht="12.75" x14ac:dyDescent="0.2">
      <c r="C629" s="3"/>
    </row>
    <row r="630" spans="3:3" ht="12.75" x14ac:dyDescent="0.2">
      <c r="C630" s="3"/>
    </row>
    <row r="631" spans="3:3" ht="12.75" x14ac:dyDescent="0.2">
      <c r="C631" s="3"/>
    </row>
    <row r="632" spans="3:3" ht="12.75" x14ac:dyDescent="0.2">
      <c r="C632" s="3"/>
    </row>
    <row r="633" spans="3:3" ht="12.75" x14ac:dyDescent="0.2">
      <c r="C633" s="3"/>
    </row>
    <row r="634" spans="3:3" ht="12.75" x14ac:dyDescent="0.2">
      <c r="C634" s="3"/>
    </row>
    <row r="635" spans="3:3" ht="12.75" x14ac:dyDescent="0.2">
      <c r="C635" s="3"/>
    </row>
    <row r="636" spans="3:3" ht="12.75" x14ac:dyDescent="0.2">
      <c r="C636" s="3"/>
    </row>
    <row r="637" spans="3:3" ht="12.75" x14ac:dyDescent="0.2">
      <c r="C637" s="3"/>
    </row>
    <row r="638" spans="3:3" ht="12.75" x14ac:dyDescent="0.2">
      <c r="C638" s="3"/>
    </row>
    <row r="639" spans="3:3" ht="12.75" x14ac:dyDescent="0.2">
      <c r="C639" s="3"/>
    </row>
    <row r="640" spans="3:3" ht="12.75" x14ac:dyDescent="0.2">
      <c r="C640" s="3"/>
    </row>
    <row r="641" spans="3:3" ht="12.75" x14ac:dyDescent="0.2">
      <c r="C641" s="3"/>
    </row>
    <row r="642" spans="3:3" ht="12.75" x14ac:dyDescent="0.2">
      <c r="C642" s="3"/>
    </row>
    <row r="643" spans="3:3" ht="12.75" x14ac:dyDescent="0.2">
      <c r="C643" s="3"/>
    </row>
    <row r="644" spans="3:3" ht="12.75" x14ac:dyDescent="0.2">
      <c r="C644" s="3"/>
    </row>
    <row r="645" spans="3:3" ht="12.75" x14ac:dyDescent="0.2">
      <c r="C645" s="3"/>
    </row>
    <row r="646" spans="3:3" ht="12.75" x14ac:dyDescent="0.2">
      <c r="C646" s="3"/>
    </row>
    <row r="647" spans="3:3" ht="12.75" x14ac:dyDescent="0.2">
      <c r="C647" s="3"/>
    </row>
    <row r="648" spans="3:3" ht="12.75" x14ac:dyDescent="0.2">
      <c r="C648" s="3"/>
    </row>
    <row r="649" spans="3:3" ht="12.75" x14ac:dyDescent="0.2">
      <c r="C649" s="3"/>
    </row>
    <row r="650" spans="3:3" ht="12.75" x14ac:dyDescent="0.2">
      <c r="C650" s="3"/>
    </row>
    <row r="651" spans="3:3" ht="12.75" x14ac:dyDescent="0.2">
      <c r="C651" s="3"/>
    </row>
    <row r="652" spans="3:3" ht="12.75" x14ac:dyDescent="0.2">
      <c r="C652" s="3"/>
    </row>
    <row r="653" spans="3:3" ht="12.75" x14ac:dyDescent="0.2">
      <c r="C653" s="3"/>
    </row>
    <row r="654" spans="3:3" ht="12.75" x14ac:dyDescent="0.2">
      <c r="C654" s="3"/>
    </row>
    <row r="655" spans="3:3" ht="12.75" x14ac:dyDescent="0.2">
      <c r="C655" s="3"/>
    </row>
    <row r="656" spans="3:3" ht="12.75" x14ac:dyDescent="0.2">
      <c r="C656" s="3"/>
    </row>
    <row r="657" spans="3:3" ht="12.75" x14ac:dyDescent="0.2">
      <c r="C657" s="3"/>
    </row>
    <row r="658" spans="3:3" ht="12.75" x14ac:dyDescent="0.2">
      <c r="C658" s="3"/>
    </row>
    <row r="659" spans="3:3" ht="12.75" x14ac:dyDescent="0.2">
      <c r="C659" s="3"/>
    </row>
    <row r="660" spans="3:3" ht="12.75" x14ac:dyDescent="0.2">
      <c r="C660" s="3"/>
    </row>
    <row r="661" spans="3:3" ht="12.75" x14ac:dyDescent="0.2">
      <c r="C661" s="3"/>
    </row>
    <row r="662" spans="3:3" ht="12.75" x14ac:dyDescent="0.2">
      <c r="C662" s="3"/>
    </row>
    <row r="663" spans="3:3" ht="12.75" x14ac:dyDescent="0.2">
      <c r="C663" s="3"/>
    </row>
    <row r="664" spans="3:3" ht="12.75" x14ac:dyDescent="0.2">
      <c r="C664" s="3"/>
    </row>
    <row r="665" spans="3:3" ht="12.75" x14ac:dyDescent="0.2">
      <c r="C665" s="3"/>
    </row>
    <row r="666" spans="3:3" ht="12.75" x14ac:dyDescent="0.2">
      <c r="C666" s="3"/>
    </row>
    <row r="667" spans="3:3" ht="12.75" x14ac:dyDescent="0.2">
      <c r="C667" s="3"/>
    </row>
    <row r="668" spans="3:3" ht="12.75" x14ac:dyDescent="0.2">
      <c r="C668" s="3"/>
    </row>
    <row r="669" spans="3:3" ht="12.75" x14ac:dyDescent="0.2">
      <c r="C669" s="3"/>
    </row>
    <row r="670" spans="3:3" ht="12.75" x14ac:dyDescent="0.2">
      <c r="C670" s="3"/>
    </row>
    <row r="671" spans="3:3" ht="12.75" x14ac:dyDescent="0.2">
      <c r="C671" s="3"/>
    </row>
    <row r="672" spans="3:3" ht="12.75" x14ac:dyDescent="0.2">
      <c r="C672" s="3"/>
    </row>
    <row r="673" spans="3:3" ht="12.75" x14ac:dyDescent="0.2">
      <c r="C673" s="3"/>
    </row>
    <row r="674" spans="3:3" ht="12.75" x14ac:dyDescent="0.2">
      <c r="C674" s="3"/>
    </row>
    <row r="675" spans="3:3" ht="12.75" x14ac:dyDescent="0.2">
      <c r="C675" s="3"/>
    </row>
    <row r="676" spans="3:3" ht="12.75" x14ac:dyDescent="0.2">
      <c r="C676" s="3"/>
    </row>
    <row r="677" spans="3:3" ht="12.75" x14ac:dyDescent="0.2">
      <c r="C677" s="3"/>
    </row>
    <row r="678" spans="3:3" ht="12.75" x14ac:dyDescent="0.2">
      <c r="C678" s="3"/>
    </row>
    <row r="679" spans="3:3" ht="12.75" x14ac:dyDescent="0.2">
      <c r="C679" s="3"/>
    </row>
    <row r="680" spans="3:3" ht="12.75" x14ac:dyDescent="0.2">
      <c r="C680" s="3"/>
    </row>
    <row r="681" spans="3:3" ht="12.75" x14ac:dyDescent="0.2">
      <c r="C681" s="3"/>
    </row>
    <row r="682" spans="3:3" ht="12.75" x14ac:dyDescent="0.2">
      <c r="C682" s="3"/>
    </row>
    <row r="683" spans="3:3" ht="12.75" x14ac:dyDescent="0.2">
      <c r="C683" s="3"/>
    </row>
    <row r="684" spans="3:3" ht="12.75" x14ac:dyDescent="0.2">
      <c r="C684" s="3"/>
    </row>
    <row r="685" spans="3:3" ht="12.75" x14ac:dyDescent="0.2">
      <c r="C685" s="3"/>
    </row>
    <row r="686" spans="3:3" ht="12.75" x14ac:dyDescent="0.2">
      <c r="C686" s="3"/>
    </row>
    <row r="687" spans="3:3" ht="12.75" x14ac:dyDescent="0.2">
      <c r="C687" s="3"/>
    </row>
    <row r="688" spans="3:3" ht="12.75" x14ac:dyDescent="0.2">
      <c r="C688" s="3"/>
    </row>
    <row r="689" spans="3:3" ht="12.75" x14ac:dyDescent="0.2">
      <c r="C689" s="3"/>
    </row>
    <row r="690" spans="3:3" ht="12.75" x14ac:dyDescent="0.2">
      <c r="C690" s="3"/>
    </row>
    <row r="691" spans="3:3" ht="12.75" x14ac:dyDescent="0.2">
      <c r="C691" s="3"/>
    </row>
    <row r="692" spans="3:3" ht="12.75" x14ac:dyDescent="0.2">
      <c r="C692" s="3"/>
    </row>
    <row r="693" spans="3:3" ht="12.75" x14ac:dyDescent="0.2">
      <c r="C693" s="3"/>
    </row>
    <row r="694" spans="3:3" ht="12.75" x14ac:dyDescent="0.2">
      <c r="C694" s="3"/>
    </row>
    <row r="695" spans="3:3" ht="12.75" x14ac:dyDescent="0.2">
      <c r="C695" s="3"/>
    </row>
    <row r="696" spans="3:3" ht="12.75" x14ac:dyDescent="0.2">
      <c r="C696" s="3"/>
    </row>
    <row r="697" spans="3:3" ht="12.75" x14ac:dyDescent="0.2">
      <c r="C697" s="3"/>
    </row>
    <row r="698" spans="3:3" ht="12.75" x14ac:dyDescent="0.2">
      <c r="C698" s="3"/>
    </row>
    <row r="699" spans="3:3" ht="12.75" x14ac:dyDescent="0.2">
      <c r="C699" s="3"/>
    </row>
    <row r="700" spans="3:3" ht="12.75" x14ac:dyDescent="0.2">
      <c r="C700" s="3"/>
    </row>
    <row r="701" spans="3:3" ht="12.75" x14ac:dyDescent="0.2">
      <c r="C701" s="3"/>
    </row>
    <row r="702" spans="3:3" ht="12.75" x14ac:dyDescent="0.2">
      <c r="C702" s="3"/>
    </row>
    <row r="703" spans="3:3" ht="12.75" x14ac:dyDescent="0.2">
      <c r="C703" s="3"/>
    </row>
    <row r="704" spans="3:3" ht="12.75" x14ac:dyDescent="0.2">
      <c r="C704" s="3"/>
    </row>
    <row r="705" spans="3:3" ht="12.75" x14ac:dyDescent="0.2">
      <c r="C705" s="3"/>
    </row>
    <row r="706" spans="3:3" ht="12.75" x14ac:dyDescent="0.2">
      <c r="C706" s="3"/>
    </row>
    <row r="707" spans="3:3" ht="12.75" x14ac:dyDescent="0.2">
      <c r="C707" s="3"/>
    </row>
    <row r="708" spans="3:3" ht="12.75" x14ac:dyDescent="0.2">
      <c r="C708" s="3"/>
    </row>
    <row r="709" spans="3:3" ht="12.75" x14ac:dyDescent="0.2">
      <c r="C709" s="3"/>
    </row>
    <row r="710" spans="3:3" ht="12.75" x14ac:dyDescent="0.2">
      <c r="C710" s="3"/>
    </row>
    <row r="711" spans="3:3" ht="12.75" x14ac:dyDescent="0.2">
      <c r="C711" s="3"/>
    </row>
    <row r="712" spans="3:3" ht="12.75" x14ac:dyDescent="0.2">
      <c r="C712" s="3"/>
    </row>
    <row r="713" spans="3:3" ht="12.75" x14ac:dyDescent="0.2">
      <c r="C713" s="3"/>
    </row>
    <row r="714" spans="3:3" ht="12.75" x14ac:dyDescent="0.2">
      <c r="C714" s="3"/>
    </row>
    <row r="715" spans="3:3" ht="12.75" x14ac:dyDescent="0.2">
      <c r="C715" s="3"/>
    </row>
    <row r="716" spans="3:3" ht="12.75" x14ac:dyDescent="0.2">
      <c r="C716" s="3"/>
    </row>
    <row r="717" spans="3:3" ht="12.75" x14ac:dyDescent="0.2">
      <c r="C717" s="3"/>
    </row>
    <row r="718" spans="3:3" ht="12.75" x14ac:dyDescent="0.2">
      <c r="C718" s="3"/>
    </row>
    <row r="719" spans="3:3" ht="12.75" x14ac:dyDescent="0.2">
      <c r="C719" s="3"/>
    </row>
    <row r="720" spans="3:3" ht="12.75" x14ac:dyDescent="0.2">
      <c r="C720" s="3"/>
    </row>
    <row r="721" spans="3:3" ht="12.75" x14ac:dyDescent="0.2">
      <c r="C721" s="3"/>
    </row>
    <row r="722" spans="3:3" ht="12.75" x14ac:dyDescent="0.2">
      <c r="C722" s="3"/>
    </row>
    <row r="723" spans="3:3" ht="12.75" x14ac:dyDescent="0.2">
      <c r="C723" s="3"/>
    </row>
    <row r="724" spans="3:3" ht="12.75" x14ac:dyDescent="0.2">
      <c r="C724" s="3"/>
    </row>
    <row r="725" spans="3:3" ht="12.75" x14ac:dyDescent="0.2">
      <c r="C725" s="3"/>
    </row>
    <row r="726" spans="3:3" ht="12.75" x14ac:dyDescent="0.2">
      <c r="C726" s="3"/>
    </row>
    <row r="727" spans="3:3" ht="12.75" x14ac:dyDescent="0.2">
      <c r="C727" s="3"/>
    </row>
    <row r="728" spans="3:3" ht="12.75" x14ac:dyDescent="0.2">
      <c r="C728" s="3"/>
    </row>
    <row r="729" spans="3:3" ht="12.75" x14ac:dyDescent="0.2">
      <c r="C729" s="3"/>
    </row>
    <row r="730" spans="3:3" ht="12.75" x14ac:dyDescent="0.2">
      <c r="C730" s="3"/>
    </row>
    <row r="731" spans="3:3" ht="12.75" x14ac:dyDescent="0.2">
      <c r="C731" s="3"/>
    </row>
    <row r="732" spans="3:3" ht="12.75" x14ac:dyDescent="0.2">
      <c r="C732" s="3"/>
    </row>
    <row r="733" spans="3:3" ht="12.75" x14ac:dyDescent="0.2">
      <c r="C733" s="3"/>
    </row>
    <row r="734" spans="3:3" ht="12.75" x14ac:dyDescent="0.2">
      <c r="C734" s="3"/>
    </row>
    <row r="735" spans="3:3" ht="12.75" x14ac:dyDescent="0.2">
      <c r="C735" s="3"/>
    </row>
    <row r="736" spans="3:3" ht="12.75" x14ac:dyDescent="0.2">
      <c r="C736" s="3"/>
    </row>
    <row r="737" spans="3:3" ht="12.75" x14ac:dyDescent="0.2">
      <c r="C737" s="3"/>
    </row>
    <row r="738" spans="3:3" ht="12.75" x14ac:dyDescent="0.2">
      <c r="C738" s="3"/>
    </row>
    <row r="739" spans="3:3" ht="12.75" x14ac:dyDescent="0.2">
      <c r="C739" s="3"/>
    </row>
    <row r="740" spans="3:3" ht="12.75" x14ac:dyDescent="0.2">
      <c r="C740" s="3"/>
    </row>
    <row r="741" spans="3:3" ht="12.75" x14ac:dyDescent="0.2">
      <c r="C741" s="3"/>
    </row>
    <row r="742" spans="3:3" ht="12.75" x14ac:dyDescent="0.2">
      <c r="C742" s="3"/>
    </row>
    <row r="743" spans="3:3" ht="12.75" x14ac:dyDescent="0.2">
      <c r="C743" s="3"/>
    </row>
    <row r="744" spans="3:3" ht="12.75" x14ac:dyDescent="0.2">
      <c r="C744" s="3"/>
    </row>
    <row r="745" spans="3:3" ht="12.75" x14ac:dyDescent="0.2">
      <c r="C745" s="3"/>
    </row>
    <row r="746" spans="3:3" ht="12.75" x14ac:dyDescent="0.2">
      <c r="C746" s="3"/>
    </row>
    <row r="747" spans="3:3" ht="12.75" x14ac:dyDescent="0.2">
      <c r="C747" s="3"/>
    </row>
    <row r="748" spans="3:3" ht="12.75" x14ac:dyDescent="0.2">
      <c r="C748" s="3"/>
    </row>
    <row r="749" spans="3:3" ht="12.75" x14ac:dyDescent="0.2">
      <c r="C749" s="3"/>
    </row>
    <row r="750" spans="3:3" ht="12.75" x14ac:dyDescent="0.2">
      <c r="C750" s="3"/>
    </row>
    <row r="751" spans="3:3" ht="12.75" x14ac:dyDescent="0.2">
      <c r="C751" s="3"/>
    </row>
    <row r="752" spans="3:3" ht="12.75" x14ac:dyDescent="0.2">
      <c r="C752" s="3"/>
    </row>
    <row r="753" spans="3:3" ht="12.75" x14ac:dyDescent="0.2">
      <c r="C753" s="3"/>
    </row>
    <row r="754" spans="3:3" ht="12.75" x14ac:dyDescent="0.2">
      <c r="C754" s="3"/>
    </row>
    <row r="755" spans="3:3" ht="12.75" x14ac:dyDescent="0.2">
      <c r="C755" s="3"/>
    </row>
    <row r="756" spans="3:3" ht="12.75" x14ac:dyDescent="0.2">
      <c r="C756" s="3"/>
    </row>
    <row r="757" spans="3:3" ht="12.75" x14ac:dyDescent="0.2">
      <c r="C757" s="3"/>
    </row>
    <row r="758" spans="3:3" ht="12.75" x14ac:dyDescent="0.2">
      <c r="C758" s="3"/>
    </row>
    <row r="759" spans="3:3" ht="12.75" x14ac:dyDescent="0.2">
      <c r="C759" s="3"/>
    </row>
    <row r="760" spans="3:3" ht="12.75" x14ac:dyDescent="0.2">
      <c r="C760" s="3"/>
    </row>
    <row r="761" spans="3:3" ht="12.75" x14ac:dyDescent="0.2">
      <c r="C761" s="3"/>
    </row>
    <row r="762" spans="3:3" ht="12.75" x14ac:dyDescent="0.2">
      <c r="C762" s="3"/>
    </row>
    <row r="763" spans="3:3" ht="12.75" x14ac:dyDescent="0.2">
      <c r="C763" s="3"/>
    </row>
    <row r="764" spans="3:3" ht="12.75" x14ac:dyDescent="0.2">
      <c r="C764" s="3"/>
    </row>
    <row r="765" spans="3:3" ht="12.75" x14ac:dyDescent="0.2">
      <c r="C765" s="3"/>
    </row>
    <row r="766" spans="3:3" ht="12.75" x14ac:dyDescent="0.2">
      <c r="C766" s="3"/>
    </row>
    <row r="767" spans="3:3" ht="12.75" x14ac:dyDescent="0.2">
      <c r="C767" s="3"/>
    </row>
    <row r="768" spans="3:3" ht="12.75" x14ac:dyDescent="0.2">
      <c r="C768" s="3"/>
    </row>
    <row r="769" spans="3:3" ht="12.75" x14ac:dyDescent="0.2">
      <c r="C769" s="3"/>
    </row>
    <row r="770" spans="3:3" ht="12.75" x14ac:dyDescent="0.2">
      <c r="C770" s="3"/>
    </row>
    <row r="771" spans="3:3" ht="12.75" x14ac:dyDescent="0.2">
      <c r="C771" s="3"/>
    </row>
    <row r="772" spans="3:3" ht="12.75" x14ac:dyDescent="0.2">
      <c r="C772" s="3"/>
    </row>
    <row r="773" spans="3:3" ht="12.75" x14ac:dyDescent="0.2">
      <c r="C773" s="3"/>
    </row>
    <row r="774" spans="3:3" ht="12.75" x14ac:dyDescent="0.2">
      <c r="C774" s="3"/>
    </row>
    <row r="775" spans="3:3" ht="12.75" x14ac:dyDescent="0.2">
      <c r="C775" s="3"/>
    </row>
    <row r="776" spans="3:3" ht="12.75" x14ac:dyDescent="0.2">
      <c r="C776" s="3"/>
    </row>
    <row r="777" spans="3:3" ht="12.75" x14ac:dyDescent="0.2">
      <c r="C777" s="3"/>
    </row>
    <row r="778" spans="3:3" ht="12.75" x14ac:dyDescent="0.2">
      <c r="C778" s="3"/>
    </row>
    <row r="779" spans="3:3" ht="12.75" x14ac:dyDescent="0.2">
      <c r="C779" s="3"/>
    </row>
    <row r="780" spans="3:3" ht="12.75" x14ac:dyDescent="0.2">
      <c r="C780" s="3"/>
    </row>
    <row r="781" spans="3:3" ht="12.75" x14ac:dyDescent="0.2">
      <c r="C781" s="3"/>
    </row>
    <row r="782" spans="3:3" ht="12.75" x14ac:dyDescent="0.2">
      <c r="C782" s="3"/>
    </row>
    <row r="783" spans="3:3" ht="12.75" x14ac:dyDescent="0.2">
      <c r="C783" s="3"/>
    </row>
    <row r="784" spans="3:3" ht="12.75" x14ac:dyDescent="0.2">
      <c r="C784" s="3"/>
    </row>
    <row r="785" spans="3:3" ht="12.75" x14ac:dyDescent="0.2">
      <c r="C785" s="3"/>
    </row>
    <row r="786" spans="3:3" ht="12.75" x14ac:dyDescent="0.2">
      <c r="C786" s="3"/>
    </row>
    <row r="787" spans="3:3" ht="12.75" x14ac:dyDescent="0.2">
      <c r="C787" s="3"/>
    </row>
    <row r="788" spans="3:3" ht="12.75" x14ac:dyDescent="0.2">
      <c r="C788" s="3"/>
    </row>
    <row r="789" spans="3:3" ht="12.75" x14ac:dyDescent="0.2">
      <c r="C789" s="3"/>
    </row>
    <row r="790" spans="3:3" ht="12.75" x14ac:dyDescent="0.2">
      <c r="C790" s="3"/>
    </row>
    <row r="791" spans="3:3" ht="12.75" x14ac:dyDescent="0.2">
      <c r="C791" s="3"/>
    </row>
    <row r="792" spans="3:3" ht="12.75" x14ac:dyDescent="0.2">
      <c r="C792" s="3"/>
    </row>
    <row r="793" spans="3:3" ht="12.75" x14ac:dyDescent="0.2">
      <c r="C793" s="3"/>
    </row>
    <row r="794" spans="3:3" ht="12.75" x14ac:dyDescent="0.2">
      <c r="C794" s="3"/>
    </row>
    <row r="795" spans="3:3" ht="12.75" x14ac:dyDescent="0.2">
      <c r="C795" s="3"/>
    </row>
    <row r="796" spans="3:3" ht="12.75" x14ac:dyDescent="0.2">
      <c r="C796" s="3"/>
    </row>
    <row r="797" spans="3:3" ht="12.75" x14ac:dyDescent="0.2">
      <c r="C797" s="3"/>
    </row>
    <row r="798" spans="3:3" ht="12.75" x14ac:dyDescent="0.2">
      <c r="C798" s="3"/>
    </row>
    <row r="799" spans="3:3" ht="12.75" x14ac:dyDescent="0.2">
      <c r="C799" s="3"/>
    </row>
    <row r="800" spans="3:3" ht="12.75" x14ac:dyDescent="0.2">
      <c r="C800" s="3"/>
    </row>
    <row r="801" spans="3:3" ht="12.75" x14ac:dyDescent="0.2">
      <c r="C801" s="3"/>
    </row>
    <row r="802" spans="3:3" ht="12.75" x14ac:dyDescent="0.2">
      <c r="C802" s="3"/>
    </row>
    <row r="803" spans="3:3" ht="12.75" x14ac:dyDescent="0.2">
      <c r="C803" s="3"/>
    </row>
    <row r="804" spans="3:3" ht="12.75" x14ac:dyDescent="0.2">
      <c r="C804" s="3"/>
    </row>
    <row r="805" spans="3:3" ht="12.75" x14ac:dyDescent="0.2">
      <c r="C805" s="3"/>
    </row>
    <row r="806" spans="3:3" ht="12.75" x14ac:dyDescent="0.2">
      <c r="C806" s="3"/>
    </row>
    <row r="807" spans="3:3" ht="12.75" x14ac:dyDescent="0.2">
      <c r="C807" s="3"/>
    </row>
    <row r="808" spans="3:3" ht="12.75" x14ac:dyDescent="0.2">
      <c r="C808" s="3"/>
    </row>
    <row r="809" spans="3:3" ht="12.75" x14ac:dyDescent="0.2">
      <c r="C809" s="3"/>
    </row>
    <row r="810" spans="3:3" ht="12.75" x14ac:dyDescent="0.2">
      <c r="C810" s="3"/>
    </row>
    <row r="811" spans="3:3" ht="12.75" x14ac:dyDescent="0.2">
      <c r="C811" s="3"/>
    </row>
    <row r="812" spans="3:3" ht="12.75" x14ac:dyDescent="0.2">
      <c r="C812" s="3"/>
    </row>
    <row r="813" spans="3:3" ht="12.75" x14ac:dyDescent="0.2">
      <c r="C813" s="3"/>
    </row>
    <row r="814" spans="3:3" ht="12.75" x14ac:dyDescent="0.2">
      <c r="C814" s="3"/>
    </row>
    <row r="815" spans="3:3" ht="12.75" x14ac:dyDescent="0.2">
      <c r="C815" s="3"/>
    </row>
    <row r="816" spans="3:3" ht="12.75" x14ac:dyDescent="0.2">
      <c r="C816" s="3"/>
    </row>
    <row r="817" spans="3:3" ht="12.75" x14ac:dyDescent="0.2">
      <c r="C817" s="3"/>
    </row>
    <row r="818" spans="3:3" ht="12.75" x14ac:dyDescent="0.2">
      <c r="C818" s="3"/>
    </row>
    <row r="819" spans="3:3" ht="12.75" x14ac:dyDescent="0.2">
      <c r="C819" s="3"/>
    </row>
    <row r="820" spans="3:3" ht="12.75" x14ac:dyDescent="0.2">
      <c r="C820" s="3"/>
    </row>
    <row r="821" spans="3:3" ht="12.75" x14ac:dyDescent="0.2">
      <c r="C821" s="3"/>
    </row>
    <row r="822" spans="3:3" ht="12.75" x14ac:dyDescent="0.2">
      <c r="C822" s="3"/>
    </row>
    <row r="823" spans="3:3" ht="12.75" x14ac:dyDescent="0.2">
      <c r="C823" s="3"/>
    </row>
    <row r="824" spans="3:3" ht="12.75" x14ac:dyDescent="0.2">
      <c r="C824" s="3"/>
    </row>
    <row r="825" spans="3:3" ht="12.75" x14ac:dyDescent="0.2">
      <c r="C825" s="3"/>
    </row>
    <row r="826" spans="3:3" ht="12.75" x14ac:dyDescent="0.2">
      <c r="C826" s="3"/>
    </row>
    <row r="827" spans="3:3" ht="12.75" x14ac:dyDescent="0.2">
      <c r="C827" s="3"/>
    </row>
    <row r="828" spans="3:3" ht="12.75" x14ac:dyDescent="0.2">
      <c r="C828" s="3"/>
    </row>
    <row r="829" spans="3:3" ht="12.75" x14ac:dyDescent="0.2">
      <c r="C829" s="3"/>
    </row>
    <row r="830" spans="3:3" ht="12.75" x14ac:dyDescent="0.2">
      <c r="C830" s="3"/>
    </row>
    <row r="831" spans="3:3" ht="12.75" x14ac:dyDescent="0.2">
      <c r="C831" s="3"/>
    </row>
    <row r="832" spans="3:3" ht="12.75" x14ac:dyDescent="0.2">
      <c r="C832" s="3"/>
    </row>
    <row r="833" spans="3:3" ht="12.75" x14ac:dyDescent="0.2">
      <c r="C833" s="3"/>
    </row>
    <row r="834" spans="3:3" ht="12.75" x14ac:dyDescent="0.2">
      <c r="C834" s="3"/>
    </row>
    <row r="835" spans="3:3" ht="12.75" x14ac:dyDescent="0.2">
      <c r="C835" s="3"/>
    </row>
    <row r="836" spans="3:3" ht="12.75" x14ac:dyDescent="0.2">
      <c r="C836" s="3"/>
    </row>
    <row r="837" spans="3:3" ht="12.75" x14ac:dyDescent="0.2">
      <c r="C837" s="3"/>
    </row>
    <row r="838" spans="3:3" ht="12.75" x14ac:dyDescent="0.2">
      <c r="C838" s="3"/>
    </row>
    <row r="839" spans="3:3" ht="12.75" x14ac:dyDescent="0.2">
      <c r="C839" s="3"/>
    </row>
    <row r="840" spans="3:3" ht="12.75" x14ac:dyDescent="0.2">
      <c r="C840" s="3"/>
    </row>
    <row r="841" spans="3:3" ht="12.75" x14ac:dyDescent="0.2">
      <c r="C841" s="3"/>
    </row>
    <row r="842" spans="3:3" ht="12.75" x14ac:dyDescent="0.2">
      <c r="C842" s="3"/>
    </row>
    <row r="843" spans="3:3" ht="12.75" x14ac:dyDescent="0.2">
      <c r="C843" s="3"/>
    </row>
    <row r="844" spans="3:3" ht="12.75" x14ac:dyDescent="0.2">
      <c r="C844" s="3"/>
    </row>
    <row r="845" spans="3:3" ht="12.75" x14ac:dyDescent="0.2">
      <c r="C845" s="3"/>
    </row>
    <row r="846" spans="3:3" ht="12.75" x14ac:dyDescent="0.2">
      <c r="C846" s="3"/>
    </row>
    <row r="847" spans="3:3" ht="12.75" x14ac:dyDescent="0.2">
      <c r="C847" s="3"/>
    </row>
    <row r="848" spans="3:3" ht="12.75" x14ac:dyDescent="0.2">
      <c r="C848" s="3"/>
    </row>
    <row r="849" spans="3:3" ht="12.75" x14ac:dyDescent="0.2">
      <c r="C849" s="3"/>
    </row>
    <row r="850" spans="3:3" ht="12.75" x14ac:dyDescent="0.2">
      <c r="C850" s="3"/>
    </row>
    <row r="851" spans="3:3" ht="12.75" x14ac:dyDescent="0.2">
      <c r="C851" s="3"/>
    </row>
    <row r="852" spans="3:3" ht="12.75" x14ac:dyDescent="0.2">
      <c r="C852" s="3"/>
    </row>
    <row r="853" spans="3:3" ht="12.75" x14ac:dyDescent="0.2">
      <c r="C853" s="3"/>
    </row>
    <row r="854" spans="3:3" ht="12.75" x14ac:dyDescent="0.2">
      <c r="C854" s="3"/>
    </row>
    <row r="855" spans="3:3" ht="12.75" x14ac:dyDescent="0.2">
      <c r="C855" s="3"/>
    </row>
    <row r="856" spans="3:3" ht="12.75" x14ac:dyDescent="0.2">
      <c r="C856" s="3"/>
    </row>
    <row r="857" spans="3:3" ht="12.75" x14ac:dyDescent="0.2">
      <c r="C857" s="3"/>
    </row>
    <row r="858" spans="3:3" ht="12.75" x14ac:dyDescent="0.2">
      <c r="C858" s="3"/>
    </row>
    <row r="859" spans="3:3" ht="12.75" x14ac:dyDescent="0.2">
      <c r="C859" s="3"/>
    </row>
    <row r="860" spans="3:3" ht="12.75" x14ac:dyDescent="0.2">
      <c r="C860" s="3"/>
    </row>
    <row r="861" spans="3:3" ht="12.75" x14ac:dyDescent="0.2">
      <c r="C861" s="3"/>
    </row>
    <row r="862" spans="3:3" ht="12.75" x14ac:dyDescent="0.2">
      <c r="C862" s="3"/>
    </row>
    <row r="863" spans="3:3" ht="12.75" x14ac:dyDescent="0.2">
      <c r="C863" s="3"/>
    </row>
    <row r="864" spans="3:3" ht="12.75" x14ac:dyDescent="0.2">
      <c r="C864" s="3"/>
    </row>
    <row r="865" spans="3:3" ht="12.75" x14ac:dyDescent="0.2">
      <c r="C865" s="3"/>
    </row>
    <row r="866" spans="3:3" ht="12.75" x14ac:dyDescent="0.2">
      <c r="C866" s="3"/>
    </row>
    <row r="867" spans="3:3" ht="12.75" x14ac:dyDescent="0.2">
      <c r="C867" s="3"/>
    </row>
    <row r="868" spans="3:3" ht="12.75" x14ac:dyDescent="0.2">
      <c r="C868" s="3"/>
    </row>
    <row r="869" spans="3:3" ht="12.75" x14ac:dyDescent="0.2">
      <c r="C869" s="3"/>
    </row>
    <row r="870" spans="3:3" ht="12.75" x14ac:dyDescent="0.2">
      <c r="C870" s="3"/>
    </row>
    <row r="871" spans="3:3" ht="12.75" x14ac:dyDescent="0.2">
      <c r="C871" s="3"/>
    </row>
    <row r="872" spans="3:3" ht="12.75" x14ac:dyDescent="0.2">
      <c r="C872" s="3"/>
    </row>
    <row r="873" spans="3:3" ht="12.75" x14ac:dyDescent="0.2">
      <c r="C873" s="3"/>
    </row>
    <row r="874" spans="3:3" ht="12.75" x14ac:dyDescent="0.2">
      <c r="C874" s="3"/>
    </row>
    <row r="875" spans="3:3" ht="12.75" x14ac:dyDescent="0.2">
      <c r="C875" s="3"/>
    </row>
    <row r="876" spans="3:3" ht="12.75" x14ac:dyDescent="0.2">
      <c r="C876" s="3"/>
    </row>
    <row r="877" spans="3:3" ht="12.75" x14ac:dyDescent="0.2">
      <c r="C877" s="3"/>
    </row>
    <row r="878" spans="3:3" ht="12.75" x14ac:dyDescent="0.2">
      <c r="C878" s="3"/>
    </row>
    <row r="879" spans="3:3" ht="12.75" x14ac:dyDescent="0.2">
      <c r="C879" s="3"/>
    </row>
    <row r="880" spans="3:3" ht="12.75" x14ac:dyDescent="0.2">
      <c r="C880" s="3"/>
    </row>
    <row r="881" spans="3:3" ht="12.75" x14ac:dyDescent="0.2">
      <c r="C881" s="3"/>
    </row>
    <row r="882" spans="3:3" ht="12.75" x14ac:dyDescent="0.2">
      <c r="C882" s="3"/>
    </row>
    <row r="883" spans="3:3" ht="12.75" x14ac:dyDescent="0.2">
      <c r="C883" s="3"/>
    </row>
    <row r="884" spans="3:3" ht="12.75" x14ac:dyDescent="0.2">
      <c r="C884" s="3"/>
    </row>
    <row r="885" spans="3:3" ht="12.75" x14ac:dyDescent="0.2">
      <c r="C885" s="3"/>
    </row>
    <row r="886" spans="3:3" ht="12.75" x14ac:dyDescent="0.2">
      <c r="C886" s="3"/>
    </row>
    <row r="887" spans="3:3" ht="12.75" x14ac:dyDescent="0.2">
      <c r="C887" s="3"/>
    </row>
    <row r="888" spans="3:3" ht="12.75" x14ac:dyDescent="0.2">
      <c r="C888" s="3"/>
    </row>
    <row r="889" spans="3:3" ht="12.75" x14ac:dyDescent="0.2">
      <c r="C889" s="3"/>
    </row>
    <row r="890" spans="3:3" ht="12.75" x14ac:dyDescent="0.2">
      <c r="C890" s="3"/>
    </row>
    <row r="891" spans="3:3" ht="12.75" x14ac:dyDescent="0.2">
      <c r="C891" s="3"/>
    </row>
    <row r="892" spans="3:3" ht="12.75" x14ac:dyDescent="0.2">
      <c r="C892" s="3"/>
    </row>
    <row r="893" spans="3:3" ht="12.75" x14ac:dyDescent="0.2">
      <c r="C893" s="3"/>
    </row>
    <row r="894" spans="3:3" ht="12.75" x14ac:dyDescent="0.2">
      <c r="C894" s="3"/>
    </row>
    <row r="895" spans="3:3" ht="12.75" x14ac:dyDescent="0.2">
      <c r="C895" s="3"/>
    </row>
    <row r="896" spans="3:3" ht="12.75" x14ac:dyDescent="0.2">
      <c r="C896" s="3"/>
    </row>
    <row r="897" spans="3:3" ht="12.75" x14ac:dyDescent="0.2">
      <c r="C897" s="3"/>
    </row>
    <row r="898" spans="3:3" ht="12.75" x14ac:dyDescent="0.2">
      <c r="C898" s="3"/>
    </row>
    <row r="899" spans="3:3" ht="12.75" x14ac:dyDescent="0.2">
      <c r="C899" s="3"/>
    </row>
    <row r="900" spans="3:3" ht="12.75" x14ac:dyDescent="0.2">
      <c r="C900" s="3"/>
    </row>
    <row r="901" spans="3:3" ht="12.75" x14ac:dyDescent="0.2">
      <c r="C901" s="3"/>
    </row>
    <row r="902" spans="3:3" ht="12.75" x14ac:dyDescent="0.2">
      <c r="C902" s="3"/>
    </row>
    <row r="903" spans="3:3" ht="12.75" x14ac:dyDescent="0.2">
      <c r="C903" s="3"/>
    </row>
    <row r="904" spans="3:3" ht="12.75" x14ac:dyDescent="0.2">
      <c r="C904" s="3"/>
    </row>
    <row r="905" spans="3:3" ht="12.75" x14ac:dyDescent="0.2">
      <c r="C905" s="3"/>
    </row>
    <row r="906" spans="3:3" ht="12.75" x14ac:dyDescent="0.2">
      <c r="C906" s="3"/>
    </row>
    <row r="907" spans="3:3" ht="12.75" x14ac:dyDescent="0.2">
      <c r="C907" s="3"/>
    </row>
    <row r="908" spans="3:3" ht="12.75" x14ac:dyDescent="0.2">
      <c r="C908" s="3"/>
    </row>
    <row r="909" spans="3:3" ht="12.75" x14ac:dyDescent="0.2">
      <c r="C909" s="3"/>
    </row>
    <row r="910" spans="3:3" ht="12.75" x14ac:dyDescent="0.2">
      <c r="C910" s="3"/>
    </row>
    <row r="911" spans="3:3" ht="12.75" x14ac:dyDescent="0.2">
      <c r="C911" s="3"/>
    </row>
    <row r="912" spans="3:3" ht="12.75" x14ac:dyDescent="0.2">
      <c r="C912" s="3"/>
    </row>
    <row r="913" spans="3:3" ht="12.75" x14ac:dyDescent="0.2">
      <c r="C913" s="3"/>
    </row>
    <row r="914" spans="3:3" ht="12.75" x14ac:dyDescent="0.2">
      <c r="C914" s="3"/>
    </row>
    <row r="915" spans="3:3" ht="12.75" x14ac:dyDescent="0.2">
      <c r="C915" s="3"/>
    </row>
    <row r="916" spans="3:3" ht="12.75" x14ac:dyDescent="0.2">
      <c r="C916" s="3"/>
    </row>
    <row r="917" spans="3:3" ht="12.75" x14ac:dyDescent="0.2">
      <c r="C917" s="3"/>
    </row>
    <row r="918" spans="3:3" ht="12.75" x14ac:dyDescent="0.2">
      <c r="C918" s="3"/>
    </row>
    <row r="919" spans="3:3" ht="12.75" x14ac:dyDescent="0.2">
      <c r="C919" s="3"/>
    </row>
    <row r="920" spans="3:3" ht="12.75" x14ac:dyDescent="0.2">
      <c r="C920" s="3"/>
    </row>
    <row r="921" spans="3:3" ht="12.75" x14ac:dyDescent="0.2">
      <c r="C921" s="3"/>
    </row>
    <row r="922" spans="3:3" ht="12.75" x14ac:dyDescent="0.2">
      <c r="C922" s="3"/>
    </row>
    <row r="923" spans="3:3" ht="12.75" x14ac:dyDescent="0.2">
      <c r="C923" s="3"/>
    </row>
    <row r="924" spans="3:3" ht="12.75" x14ac:dyDescent="0.2">
      <c r="C924" s="3"/>
    </row>
    <row r="925" spans="3:3" ht="12.75" x14ac:dyDescent="0.2">
      <c r="C925" s="3"/>
    </row>
    <row r="926" spans="3:3" ht="12.75" x14ac:dyDescent="0.2">
      <c r="C926" s="3"/>
    </row>
    <row r="927" spans="3:3" ht="12.75" x14ac:dyDescent="0.2">
      <c r="C927" s="3"/>
    </row>
    <row r="928" spans="3:3" ht="12.75" x14ac:dyDescent="0.2">
      <c r="C928" s="3"/>
    </row>
    <row r="929" spans="3:3" ht="12.75" x14ac:dyDescent="0.2">
      <c r="C929" s="3"/>
    </row>
    <row r="930" spans="3:3" ht="12.75" x14ac:dyDescent="0.2">
      <c r="C930" s="3"/>
    </row>
    <row r="931" spans="3:3" ht="12.75" x14ac:dyDescent="0.2">
      <c r="C931" s="3"/>
    </row>
    <row r="932" spans="3:3" ht="12.75" x14ac:dyDescent="0.2">
      <c r="C932" s="3"/>
    </row>
    <row r="933" spans="3:3" ht="12.75" x14ac:dyDescent="0.2">
      <c r="C933" s="3"/>
    </row>
    <row r="934" spans="3:3" ht="12.75" x14ac:dyDescent="0.2">
      <c r="C934" s="3"/>
    </row>
    <row r="935" spans="3:3" ht="12.75" x14ac:dyDescent="0.2">
      <c r="C935" s="3"/>
    </row>
    <row r="936" spans="3:3" ht="12.75" x14ac:dyDescent="0.2">
      <c r="C936" s="3"/>
    </row>
    <row r="937" spans="3:3" ht="12.75" x14ac:dyDescent="0.2">
      <c r="C937" s="3"/>
    </row>
    <row r="938" spans="3:3" ht="12.75" x14ac:dyDescent="0.2">
      <c r="C938" s="3"/>
    </row>
    <row r="939" spans="3:3" ht="12.75" x14ac:dyDescent="0.2">
      <c r="C939" s="3"/>
    </row>
    <row r="940" spans="3:3" ht="12.75" x14ac:dyDescent="0.2">
      <c r="C940" s="3"/>
    </row>
    <row r="941" spans="3:3" ht="12.75" x14ac:dyDescent="0.2">
      <c r="C941" s="3"/>
    </row>
    <row r="942" spans="3:3" ht="12.75" x14ac:dyDescent="0.2">
      <c r="C942" s="3"/>
    </row>
    <row r="943" spans="3:3" ht="12.75" x14ac:dyDescent="0.2">
      <c r="C943" s="3"/>
    </row>
    <row r="944" spans="3:3" ht="12.75" x14ac:dyDescent="0.2">
      <c r="C944" s="3"/>
    </row>
    <row r="945" spans="3:3" ht="12.75" x14ac:dyDescent="0.2">
      <c r="C945" s="3"/>
    </row>
    <row r="946" spans="3:3" ht="12.75" x14ac:dyDescent="0.2">
      <c r="C946" s="3"/>
    </row>
    <row r="947" spans="3:3" ht="12.75" x14ac:dyDescent="0.2">
      <c r="C947" s="3"/>
    </row>
    <row r="948" spans="3:3" ht="12.75" x14ac:dyDescent="0.2">
      <c r="C948" s="3"/>
    </row>
    <row r="949" spans="3:3" ht="12.75" x14ac:dyDescent="0.2">
      <c r="C949" s="3"/>
    </row>
    <row r="950" spans="3:3" ht="12.75" x14ac:dyDescent="0.2">
      <c r="C950" s="3"/>
    </row>
    <row r="951" spans="3:3" ht="12.75" x14ac:dyDescent="0.2">
      <c r="C951" s="3"/>
    </row>
    <row r="952" spans="3:3" ht="12.75" x14ac:dyDescent="0.2">
      <c r="C952" s="3"/>
    </row>
    <row r="953" spans="3:3" ht="12.75" x14ac:dyDescent="0.2">
      <c r="C953" s="3"/>
    </row>
    <row r="954" spans="3:3" ht="12.75" x14ac:dyDescent="0.2">
      <c r="C954" s="3"/>
    </row>
    <row r="955" spans="3:3" ht="12.75" x14ac:dyDescent="0.2">
      <c r="C955" s="3"/>
    </row>
    <row r="956" spans="3:3" ht="12.75" x14ac:dyDescent="0.2">
      <c r="C956" s="3"/>
    </row>
    <row r="957" spans="3:3" ht="12.75" x14ac:dyDescent="0.2">
      <c r="C957" s="3"/>
    </row>
    <row r="958" spans="3:3" ht="12.75" x14ac:dyDescent="0.2">
      <c r="C958" s="3"/>
    </row>
    <row r="959" spans="3:3" ht="12.75" x14ac:dyDescent="0.2">
      <c r="C959" s="3"/>
    </row>
    <row r="960" spans="3:3" ht="12.75" x14ac:dyDescent="0.2">
      <c r="C960" s="3"/>
    </row>
    <row r="961" spans="3:3" ht="12.75" x14ac:dyDescent="0.2">
      <c r="C961" s="3"/>
    </row>
    <row r="962" spans="3:3" ht="12.75" x14ac:dyDescent="0.2">
      <c r="C962" s="3"/>
    </row>
    <row r="963" spans="3:3" ht="12.75" x14ac:dyDescent="0.2">
      <c r="C963" s="3"/>
    </row>
    <row r="964" spans="3:3" ht="12.75" x14ac:dyDescent="0.2">
      <c r="C964" s="3"/>
    </row>
    <row r="965" spans="3:3" ht="12.75" x14ac:dyDescent="0.2">
      <c r="C965" s="3"/>
    </row>
    <row r="966" spans="3:3" ht="12.75" x14ac:dyDescent="0.2">
      <c r="C966" s="3"/>
    </row>
    <row r="967" spans="3:3" ht="12.75" x14ac:dyDescent="0.2">
      <c r="C967" s="3"/>
    </row>
    <row r="968" spans="3:3" ht="12.75" x14ac:dyDescent="0.2">
      <c r="C968" s="3"/>
    </row>
    <row r="969" spans="3:3" ht="12.75" x14ac:dyDescent="0.2">
      <c r="C969" s="3"/>
    </row>
    <row r="970" spans="3:3" ht="12.75" x14ac:dyDescent="0.2">
      <c r="C970" s="3"/>
    </row>
    <row r="971" spans="3:3" ht="12.75" x14ac:dyDescent="0.2">
      <c r="C971" s="3"/>
    </row>
    <row r="972" spans="3:3" ht="12.75" x14ac:dyDescent="0.2">
      <c r="C972" s="3"/>
    </row>
    <row r="973" spans="3:3" ht="12.75" x14ac:dyDescent="0.2">
      <c r="C973" s="3"/>
    </row>
    <row r="974" spans="3:3" ht="12.75" x14ac:dyDescent="0.2">
      <c r="C974" s="3"/>
    </row>
    <row r="975" spans="3:3" ht="12.75" x14ac:dyDescent="0.2">
      <c r="C975" s="3"/>
    </row>
    <row r="976" spans="3:3" ht="12.75" x14ac:dyDescent="0.2">
      <c r="C976" s="3"/>
    </row>
    <row r="977" spans="3:3" ht="12.75" x14ac:dyDescent="0.2">
      <c r="C977" s="3"/>
    </row>
    <row r="978" spans="3:3" ht="12.75" x14ac:dyDescent="0.2">
      <c r="C978" s="3"/>
    </row>
    <row r="979" spans="3:3" ht="12.75" x14ac:dyDescent="0.2">
      <c r="C979" s="3"/>
    </row>
    <row r="980" spans="3:3" ht="12.75" x14ac:dyDescent="0.2">
      <c r="C980" s="3"/>
    </row>
    <row r="981" spans="3:3" ht="12.75" x14ac:dyDescent="0.2">
      <c r="C981" s="3"/>
    </row>
    <row r="982" spans="3:3" ht="12.75" x14ac:dyDescent="0.2">
      <c r="C982" s="3"/>
    </row>
    <row r="983" spans="3:3" ht="12.75" x14ac:dyDescent="0.2">
      <c r="C983" s="3"/>
    </row>
    <row r="984" spans="3:3" ht="12.75" x14ac:dyDescent="0.2">
      <c r="C984" s="3"/>
    </row>
    <row r="985" spans="3:3" ht="12.75" x14ac:dyDescent="0.2">
      <c r="C985" s="3"/>
    </row>
    <row r="986" spans="3:3" ht="12.75" x14ac:dyDescent="0.2">
      <c r="C986" s="3"/>
    </row>
    <row r="987" spans="3:3" ht="12.75" x14ac:dyDescent="0.2">
      <c r="C987" s="3"/>
    </row>
    <row r="988" spans="3:3" ht="12.75" x14ac:dyDescent="0.2">
      <c r="C988" s="3"/>
    </row>
    <row r="989" spans="3:3" ht="12.75" x14ac:dyDescent="0.2">
      <c r="C989" s="3"/>
    </row>
    <row r="990" spans="3:3" ht="12.75" x14ac:dyDescent="0.2">
      <c r="C990" s="3"/>
    </row>
    <row r="991" spans="3:3" ht="12.75" x14ac:dyDescent="0.2">
      <c r="C991" s="3"/>
    </row>
    <row r="992" spans="3:3" ht="12.75" x14ac:dyDescent="0.2">
      <c r="C992" s="3"/>
    </row>
    <row r="993" spans="3:3" ht="12.75" x14ac:dyDescent="0.2">
      <c r="C993" s="3"/>
    </row>
    <row r="994" spans="3:3" ht="12.75" x14ac:dyDescent="0.2">
      <c r="C994" s="3"/>
    </row>
    <row r="995" spans="3:3" ht="12.75" x14ac:dyDescent="0.2">
      <c r="C995" s="3"/>
    </row>
    <row r="996" spans="3:3" ht="12.75" x14ac:dyDescent="0.2">
      <c r="C996" s="3"/>
    </row>
    <row r="997" spans="3:3" ht="12.75" x14ac:dyDescent="0.2">
      <c r="C997" s="3"/>
    </row>
    <row r="998" spans="3:3" ht="12.75" x14ac:dyDescent="0.2">
      <c r="C998" s="3"/>
    </row>
    <row r="999" spans="3:3" ht="12.75" x14ac:dyDescent="0.2">
      <c r="C999" s="3"/>
    </row>
    <row r="1000" spans="3:3" ht="12.75" x14ac:dyDescent="0.2">
      <c r="C1000" s="3"/>
    </row>
  </sheetData>
  <autoFilter ref="A1:O602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55"/>
  <sheetViews>
    <sheetView workbookViewId="0"/>
  </sheetViews>
  <sheetFormatPr defaultColWidth="12.5703125" defaultRowHeight="15.75" customHeight="1" x14ac:dyDescent="0.2"/>
  <cols>
    <col min="1" max="1" width="23.42578125" customWidth="1"/>
    <col min="2" max="2" width="14.42578125" customWidth="1"/>
    <col min="3" max="3" width="18.42578125" customWidth="1"/>
  </cols>
  <sheetData>
    <row r="1" spans="1:4" ht="15.75" customHeight="1" x14ac:dyDescent="0.25">
      <c r="A1" s="1" t="s">
        <v>5</v>
      </c>
      <c r="B1" s="1" t="s">
        <v>937</v>
      </c>
      <c r="C1" s="1" t="s">
        <v>938</v>
      </c>
    </row>
    <row r="2" spans="1:4" ht="15.75" customHeight="1" x14ac:dyDescent="0.25">
      <c r="A2" s="4" t="s">
        <v>939</v>
      </c>
      <c r="B2" s="7">
        <v>1266</v>
      </c>
      <c r="C2" s="8">
        <v>44684</v>
      </c>
      <c r="D2" s="10"/>
    </row>
    <row r="3" spans="1:4" ht="15.75" customHeight="1" x14ac:dyDescent="0.25">
      <c r="A3" s="4" t="s">
        <v>940</v>
      </c>
      <c r="B3" s="7">
        <v>7830</v>
      </c>
      <c r="C3" s="8">
        <v>44663</v>
      </c>
      <c r="D3" s="10"/>
    </row>
    <row r="4" spans="1:4" ht="15.75" customHeight="1" x14ac:dyDescent="0.25">
      <c r="A4" s="4" t="s">
        <v>941</v>
      </c>
      <c r="B4" s="7">
        <v>4522</v>
      </c>
      <c r="C4" s="8">
        <v>44737</v>
      </c>
    </row>
    <row r="5" spans="1:4" ht="15.75" customHeight="1" x14ac:dyDescent="0.25">
      <c r="A5" s="4" t="s">
        <v>942</v>
      </c>
      <c r="B5" s="7">
        <v>6830</v>
      </c>
      <c r="C5" s="8">
        <v>44710</v>
      </c>
    </row>
    <row r="6" spans="1:4" ht="15.75" customHeight="1" x14ac:dyDescent="0.25">
      <c r="A6" s="4" t="s">
        <v>943</v>
      </c>
      <c r="B6" s="7">
        <v>1577</v>
      </c>
      <c r="C6" s="8">
        <v>44655</v>
      </c>
    </row>
    <row r="7" spans="1:4" ht="15.75" customHeight="1" x14ac:dyDescent="0.25">
      <c r="A7" s="4" t="s">
        <v>944</v>
      </c>
      <c r="B7" s="7">
        <v>9182</v>
      </c>
      <c r="C7" s="8">
        <v>44705</v>
      </c>
    </row>
    <row r="8" spans="1:4" ht="15.75" customHeight="1" x14ac:dyDescent="0.25">
      <c r="A8" s="4" t="s">
        <v>945</v>
      </c>
      <c r="B8" s="7">
        <v>8926</v>
      </c>
      <c r="C8" s="8">
        <v>44728</v>
      </c>
    </row>
    <row r="9" spans="1:4" ht="15.75" customHeight="1" x14ac:dyDescent="0.25">
      <c r="A9" s="4" t="s">
        <v>946</v>
      </c>
      <c r="B9" s="7">
        <v>8765</v>
      </c>
      <c r="C9" s="8">
        <v>44710</v>
      </c>
    </row>
    <row r="10" spans="1:4" ht="15.75" customHeight="1" x14ac:dyDescent="0.25">
      <c r="A10" s="4" t="s">
        <v>947</v>
      </c>
      <c r="B10" s="7">
        <v>2661</v>
      </c>
      <c r="C10" s="8">
        <v>44692</v>
      </c>
    </row>
    <row r="11" spans="1:4" ht="15.75" customHeight="1" x14ac:dyDescent="0.25">
      <c r="A11" s="4" t="s">
        <v>948</v>
      </c>
      <c r="B11" s="7">
        <v>9922</v>
      </c>
      <c r="C11" s="8">
        <v>44633</v>
      </c>
    </row>
    <row r="12" spans="1:4" ht="15.75" customHeight="1" x14ac:dyDescent="0.25">
      <c r="A12" s="4" t="s">
        <v>949</v>
      </c>
      <c r="B12" s="7">
        <v>2799</v>
      </c>
      <c r="C12" s="8">
        <v>44723</v>
      </c>
    </row>
    <row r="13" spans="1:4" ht="15.75" customHeight="1" x14ac:dyDescent="0.25">
      <c r="A13" s="4" t="s">
        <v>950</v>
      </c>
      <c r="B13" s="7">
        <v>6004</v>
      </c>
      <c r="C13" s="8">
        <v>44655</v>
      </c>
    </row>
    <row r="14" spans="1:4" ht="15.75" customHeight="1" x14ac:dyDescent="0.25">
      <c r="A14" s="4" t="s">
        <v>951</v>
      </c>
      <c r="B14" s="7">
        <v>1580</v>
      </c>
      <c r="C14" s="8">
        <v>44709</v>
      </c>
    </row>
    <row r="15" spans="1:4" ht="15.75" customHeight="1" x14ac:dyDescent="0.25">
      <c r="A15" s="4" t="s">
        <v>952</v>
      </c>
      <c r="B15" s="7">
        <v>8414</v>
      </c>
      <c r="C15" s="8">
        <v>44671</v>
      </c>
    </row>
    <row r="16" spans="1:4" ht="15.75" customHeight="1" x14ac:dyDescent="0.25">
      <c r="A16" s="4" t="s">
        <v>953</v>
      </c>
      <c r="B16" s="7">
        <v>8941</v>
      </c>
      <c r="C16" s="8">
        <v>44730</v>
      </c>
    </row>
    <row r="17" spans="1:3" ht="15.75" customHeight="1" x14ac:dyDescent="0.25">
      <c r="A17" s="4" t="s">
        <v>954</v>
      </c>
      <c r="B17" s="7">
        <v>3307</v>
      </c>
      <c r="C17" s="8">
        <v>44667</v>
      </c>
    </row>
    <row r="18" spans="1:3" ht="15.75" customHeight="1" x14ac:dyDescent="0.25">
      <c r="A18" s="4" t="s">
        <v>955</v>
      </c>
      <c r="B18" s="7">
        <v>9601</v>
      </c>
      <c r="C18" s="8">
        <v>44724</v>
      </c>
    </row>
    <row r="19" spans="1:3" ht="15.75" customHeight="1" x14ac:dyDescent="0.25">
      <c r="A19" s="4" t="s">
        <v>956</v>
      </c>
      <c r="B19" s="7">
        <v>8836</v>
      </c>
      <c r="C19" s="8">
        <v>44736</v>
      </c>
    </row>
    <row r="20" spans="1:3" ht="15.75" customHeight="1" x14ac:dyDescent="0.25">
      <c r="A20" s="4" t="s">
        <v>957</v>
      </c>
      <c r="B20" s="7">
        <v>9663</v>
      </c>
      <c r="C20" s="8">
        <v>44625</v>
      </c>
    </row>
    <row r="21" spans="1:3" ht="15.75" customHeight="1" x14ac:dyDescent="0.25">
      <c r="A21" s="4" t="s">
        <v>958</v>
      </c>
      <c r="B21" s="7">
        <v>5431</v>
      </c>
      <c r="C21" s="8">
        <v>44636</v>
      </c>
    </row>
    <row r="22" spans="1:3" ht="15.75" customHeight="1" x14ac:dyDescent="0.25">
      <c r="A22" s="4" t="s">
        <v>959</v>
      </c>
      <c r="B22" s="7">
        <v>6930</v>
      </c>
      <c r="C22" s="8">
        <v>44641</v>
      </c>
    </row>
    <row r="23" spans="1:3" ht="15.75" customHeight="1" x14ac:dyDescent="0.25">
      <c r="A23" s="4" t="s">
        <v>960</v>
      </c>
      <c r="B23" s="7">
        <v>4273</v>
      </c>
      <c r="C23" s="8">
        <v>44739</v>
      </c>
    </row>
    <row r="24" spans="1:3" ht="15.75" customHeight="1" x14ac:dyDescent="0.25">
      <c r="A24" s="4" t="s">
        <v>961</v>
      </c>
      <c r="B24" s="7">
        <v>3049</v>
      </c>
      <c r="C24" s="8">
        <v>44738</v>
      </c>
    </row>
    <row r="25" spans="1:3" ht="15.75" customHeight="1" x14ac:dyDescent="0.25">
      <c r="A25" s="4" t="s">
        <v>962</v>
      </c>
      <c r="B25" s="7">
        <v>2443</v>
      </c>
      <c r="C25" s="8">
        <v>44709</v>
      </c>
    </row>
    <row r="26" spans="1:3" ht="15.75" customHeight="1" x14ac:dyDescent="0.25">
      <c r="A26" s="4" t="s">
        <v>963</v>
      </c>
      <c r="B26" s="7">
        <v>5953</v>
      </c>
      <c r="C26" s="8">
        <v>44663</v>
      </c>
    </row>
    <row r="27" spans="1:3" ht="15.75" customHeight="1" x14ac:dyDescent="0.25">
      <c r="A27" s="4" t="s">
        <v>964</v>
      </c>
      <c r="B27" s="7">
        <v>7125</v>
      </c>
      <c r="C27" s="8">
        <v>44735</v>
      </c>
    </row>
    <row r="28" spans="1:3" ht="15.75" customHeight="1" x14ac:dyDescent="0.25">
      <c r="A28" s="4" t="s">
        <v>965</v>
      </c>
      <c r="B28" s="7">
        <v>1121</v>
      </c>
      <c r="C28" s="8">
        <v>44740</v>
      </c>
    </row>
    <row r="29" spans="1:3" ht="15.75" customHeight="1" x14ac:dyDescent="0.25">
      <c r="A29" s="4" t="s">
        <v>966</v>
      </c>
      <c r="B29" s="7">
        <v>9453</v>
      </c>
      <c r="C29" s="8">
        <v>44623</v>
      </c>
    </row>
    <row r="30" spans="1:3" ht="15.75" customHeight="1" x14ac:dyDescent="0.25">
      <c r="A30" s="4" t="s">
        <v>967</v>
      </c>
      <c r="B30" s="7">
        <v>1363</v>
      </c>
      <c r="C30" s="8">
        <v>44648</v>
      </c>
    </row>
    <row r="31" spans="1:3" ht="15.75" customHeight="1" x14ac:dyDescent="0.25">
      <c r="A31" s="4" t="s">
        <v>968</v>
      </c>
      <c r="B31" s="7">
        <v>7269</v>
      </c>
      <c r="C31" s="8">
        <v>44634</v>
      </c>
    </row>
    <row r="32" spans="1:3" ht="15.75" customHeight="1" x14ac:dyDescent="0.25">
      <c r="A32" s="4" t="s">
        <v>969</v>
      </c>
      <c r="B32" s="7">
        <v>2543</v>
      </c>
      <c r="C32" s="8">
        <v>44736</v>
      </c>
    </row>
    <row r="33" spans="1:3" ht="15.75" customHeight="1" x14ac:dyDescent="0.25">
      <c r="A33" s="4" t="s">
        <v>970</v>
      </c>
      <c r="B33" s="7">
        <v>1146</v>
      </c>
      <c r="C33" s="8">
        <v>44688</v>
      </c>
    </row>
    <row r="34" spans="1:3" ht="15.75" customHeight="1" x14ac:dyDescent="0.25">
      <c r="A34" s="4" t="s">
        <v>971</v>
      </c>
      <c r="B34" s="7">
        <v>6580</v>
      </c>
      <c r="C34" s="8">
        <v>44739</v>
      </c>
    </row>
    <row r="35" spans="1:3" ht="15.75" customHeight="1" x14ac:dyDescent="0.25">
      <c r="A35" s="4" t="s">
        <v>972</v>
      </c>
      <c r="B35" s="7">
        <v>5518</v>
      </c>
      <c r="C35" s="8">
        <v>44663</v>
      </c>
    </row>
    <row r="36" spans="1:3" ht="15.75" customHeight="1" x14ac:dyDescent="0.25">
      <c r="A36" s="4" t="s">
        <v>973</v>
      </c>
      <c r="B36" s="7">
        <v>3642</v>
      </c>
      <c r="C36" s="8">
        <v>44720</v>
      </c>
    </row>
    <row r="37" spans="1:3" ht="15.75" customHeight="1" x14ac:dyDescent="0.25">
      <c r="A37" s="4" t="s">
        <v>974</v>
      </c>
      <c r="B37" s="7">
        <v>1171</v>
      </c>
      <c r="C37" s="8">
        <v>44724</v>
      </c>
    </row>
    <row r="38" spans="1:3" ht="15.75" customHeight="1" x14ac:dyDescent="0.25">
      <c r="A38" s="4" t="s">
        <v>975</v>
      </c>
      <c r="B38" s="7">
        <v>5788</v>
      </c>
      <c r="C38" s="8">
        <v>44733</v>
      </c>
    </row>
    <row r="39" spans="1:3" ht="15.75" customHeight="1" x14ac:dyDescent="0.25">
      <c r="A39" s="4" t="s">
        <v>976</v>
      </c>
      <c r="B39" s="7">
        <v>8193</v>
      </c>
      <c r="C39" s="8">
        <v>44658</v>
      </c>
    </row>
    <row r="40" spans="1:3" ht="15.75" customHeight="1" x14ac:dyDescent="0.25">
      <c r="A40" s="4" t="s">
        <v>977</v>
      </c>
      <c r="B40" s="7">
        <v>7336</v>
      </c>
      <c r="C40" s="8">
        <v>44635</v>
      </c>
    </row>
    <row r="41" spans="1:3" ht="15.75" customHeight="1" x14ac:dyDescent="0.25">
      <c r="A41" s="4" t="s">
        <v>978</v>
      </c>
      <c r="B41" s="7">
        <v>5090</v>
      </c>
      <c r="C41" s="8">
        <v>44728</v>
      </c>
    </row>
    <row r="42" spans="1:3" ht="15.75" customHeight="1" x14ac:dyDescent="0.25">
      <c r="A42" s="4" t="s">
        <v>979</v>
      </c>
      <c r="B42" s="7">
        <v>6544</v>
      </c>
      <c r="C42" s="8">
        <v>44726</v>
      </c>
    </row>
    <row r="43" spans="1:3" ht="15.75" customHeight="1" x14ac:dyDescent="0.25">
      <c r="A43" s="4" t="s">
        <v>980</v>
      </c>
      <c r="B43" s="7">
        <v>3959</v>
      </c>
      <c r="C43" s="8">
        <v>44712</v>
      </c>
    </row>
    <row r="44" spans="1:3" ht="15.75" customHeight="1" x14ac:dyDescent="0.25">
      <c r="A44" s="4" t="s">
        <v>981</v>
      </c>
      <c r="B44" s="7">
        <v>8788</v>
      </c>
      <c r="C44" s="8">
        <v>44657</v>
      </c>
    </row>
    <row r="45" spans="1:3" ht="15.75" customHeight="1" x14ac:dyDescent="0.25">
      <c r="A45" s="4" t="s">
        <v>982</v>
      </c>
      <c r="B45" s="7">
        <v>8883</v>
      </c>
      <c r="C45" s="8">
        <v>44700</v>
      </c>
    </row>
    <row r="46" spans="1:3" ht="15.75" customHeight="1" x14ac:dyDescent="0.25">
      <c r="A46" s="4" t="s">
        <v>983</v>
      </c>
      <c r="B46" s="7">
        <v>5284</v>
      </c>
      <c r="C46" s="8">
        <v>44652</v>
      </c>
    </row>
    <row r="47" spans="1:3" ht="15.75" customHeight="1" x14ac:dyDescent="0.25">
      <c r="A47" s="4" t="s">
        <v>984</v>
      </c>
      <c r="B47" s="7">
        <v>7191</v>
      </c>
      <c r="C47" s="8">
        <v>44660</v>
      </c>
    </row>
    <row r="48" spans="1:3" ht="15.75" customHeight="1" x14ac:dyDescent="0.25">
      <c r="A48" s="4" t="s">
        <v>985</v>
      </c>
      <c r="B48" s="7">
        <v>7690</v>
      </c>
      <c r="C48" s="8">
        <v>44630</v>
      </c>
    </row>
    <row r="49" spans="1:3" ht="15.75" customHeight="1" x14ac:dyDescent="0.25">
      <c r="A49" s="4" t="s">
        <v>986</v>
      </c>
      <c r="B49" s="7">
        <v>1550</v>
      </c>
      <c r="C49" s="8">
        <v>44720</v>
      </c>
    </row>
    <row r="50" spans="1:3" ht="15.75" customHeight="1" x14ac:dyDescent="0.25">
      <c r="A50" s="4" t="s">
        <v>987</v>
      </c>
      <c r="B50" s="7">
        <v>5428</v>
      </c>
      <c r="C50" s="8">
        <v>44739</v>
      </c>
    </row>
    <row r="51" spans="1:3" ht="15.75" customHeight="1" x14ac:dyDescent="0.25">
      <c r="A51" s="4" t="s">
        <v>988</v>
      </c>
      <c r="B51" s="7">
        <v>8410</v>
      </c>
      <c r="C51" s="8">
        <v>44642</v>
      </c>
    </row>
    <row r="52" spans="1:3" ht="15.75" customHeight="1" x14ac:dyDescent="0.25">
      <c r="A52" s="4" t="s">
        <v>989</v>
      </c>
      <c r="B52" s="7">
        <v>8616</v>
      </c>
      <c r="C52" s="8">
        <v>44675</v>
      </c>
    </row>
    <row r="53" spans="1:3" ht="15" x14ac:dyDescent="0.25">
      <c r="A53" s="4" t="s">
        <v>990</v>
      </c>
      <c r="B53" s="7">
        <v>3544</v>
      </c>
      <c r="C53" s="8">
        <v>44697</v>
      </c>
    </row>
    <row r="54" spans="1:3" ht="15" x14ac:dyDescent="0.25">
      <c r="A54" s="4" t="s">
        <v>991</v>
      </c>
      <c r="B54" s="7">
        <v>7513</v>
      </c>
      <c r="C54" s="8">
        <v>44684</v>
      </c>
    </row>
    <row r="55" spans="1:3" ht="15" x14ac:dyDescent="0.25">
      <c r="A55" s="4" t="s">
        <v>992</v>
      </c>
      <c r="B55" s="7">
        <v>8687</v>
      </c>
      <c r="C55" s="8">
        <v>44638</v>
      </c>
    </row>
    <row r="56" spans="1:3" ht="15" x14ac:dyDescent="0.25">
      <c r="A56" s="4" t="s">
        <v>993</v>
      </c>
      <c r="B56" s="7">
        <v>4078</v>
      </c>
      <c r="C56" s="8">
        <v>44636</v>
      </c>
    </row>
    <row r="57" spans="1:3" ht="15" x14ac:dyDescent="0.25">
      <c r="A57" s="4" t="s">
        <v>994</v>
      </c>
      <c r="B57" s="7">
        <v>9852</v>
      </c>
      <c r="C57" s="8">
        <v>44707</v>
      </c>
    </row>
    <row r="58" spans="1:3" ht="15" x14ac:dyDescent="0.25">
      <c r="A58" s="4" t="s">
        <v>995</v>
      </c>
      <c r="B58" s="7">
        <v>4384</v>
      </c>
      <c r="C58" s="8">
        <v>44665</v>
      </c>
    </row>
    <row r="59" spans="1:3" ht="15" x14ac:dyDescent="0.25">
      <c r="A59" s="4" t="s">
        <v>996</v>
      </c>
      <c r="B59" s="7">
        <v>1643</v>
      </c>
      <c r="C59" s="8">
        <v>44722</v>
      </c>
    </row>
    <row r="60" spans="1:3" ht="15" x14ac:dyDescent="0.25">
      <c r="A60" s="4" t="s">
        <v>997</v>
      </c>
      <c r="B60" s="7">
        <v>3507</v>
      </c>
      <c r="C60" s="8">
        <v>44738</v>
      </c>
    </row>
    <row r="61" spans="1:3" ht="15" x14ac:dyDescent="0.25">
      <c r="A61" s="4" t="s">
        <v>998</v>
      </c>
      <c r="B61" s="7">
        <v>5239</v>
      </c>
      <c r="C61" s="8">
        <v>44648</v>
      </c>
    </row>
    <row r="62" spans="1:3" ht="15" x14ac:dyDescent="0.25">
      <c r="A62" s="4" t="s">
        <v>999</v>
      </c>
      <c r="B62" s="7">
        <v>8494</v>
      </c>
      <c r="C62" s="8">
        <v>44702</v>
      </c>
    </row>
    <row r="63" spans="1:3" ht="15" x14ac:dyDescent="0.25">
      <c r="A63" s="4" t="s">
        <v>1000</v>
      </c>
      <c r="B63" s="7">
        <v>5574</v>
      </c>
      <c r="C63" s="8">
        <v>44680</v>
      </c>
    </row>
    <row r="64" spans="1:3" ht="15" x14ac:dyDescent="0.25">
      <c r="A64" s="4" t="s">
        <v>1001</v>
      </c>
      <c r="B64" s="7">
        <v>4582</v>
      </c>
      <c r="C64" s="8">
        <v>44690</v>
      </c>
    </row>
    <row r="65" spans="1:3" ht="15" x14ac:dyDescent="0.25">
      <c r="A65" s="4" t="s">
        <v>1002</v>
      </c>
      <c r="B65" s="7">
        <v>1459</v>
      </c>
      <c r="C65" s="8">
        <v>44686</v>
      </c>
    </row>
    <row r="66" spans="1:3" ht="15" x14ac:dyDescent="0.25">
      <c r="A66" s="4" t="s">
        <v>1003</v>
      </c>
      <c r="B66" s="7">
        <v>4532</v>
      </c>
      <c r="C66" s="8">
        <v>44704</v>
      </c>
    </row>
    <row r="67" spans="1:3" ht="15" x14ac:dyDescent="0.25">
      <c r="A67" s="4" t="s">
        <v>1004</v>
      </c>
      <c r="B67" s="7">
        <v>2112</v>
      </c>
      <c r="C67" s="8">
        <v>44720</v>
      </c>
    </row>
    <row r="68" spans="1:3" ht="15" x14ac:dyDescent="0.25">
      <c r="A68" s="4" t="s">
        <v>1005</v>
      </c>
      <c r="B68" s="7">
        <v>7887</v>
      </c>
      <c r="C68" s="8">
        <v>44656</v>
      </c>
    </row>
    <row r="69" spans="1:3" ht="15" x14ac:dyDescent="0.25">
      <c r="A69" s="4" t="s">
        <v>1006</v>
      </c>
      <c r="B69" s="7">
        <v>3254</v>
      </c>
      <c r="C69" s="8">
        <v>44623</v>
      </c>
    </row>
    <row r="70" spans="1:3" ht="15" x14ac:dyDescent="0.25">
      <c r="A70" s="4" t="s">
        <v>1007</v>
      </c>
      <c r="B70" s="7">
        <v>5185</v>
      </c>
      <c r="C70" s="8">
        <v>44708</v>
      </c>
    </row>
    <row r="71" spans="1:3" ht="15" x14ac:dyDescent="0.25">
      <c r="A71" s="4" t="s">
        <v>1008</v>
      </c>
      <c r="B71" s="7">
        <v>9744</v>
      </c>
      <c r="C71" s="8">
        <v>44710</v>
      </c>
    </row>
    <row r="72" spans="1:3" ht="15" x14ac:dyDescent="0.25">
      <c r="A72" s="4" t="s">
        <v>1009</v>
      </c>
      <c r="B72" s="7">
        <v>9708</v>
      </c>
      <c r="C72" s="8">
        <v>44712</v>
      </c>
    </row>
    <row r="73" spans="1:3" ht="15" x14ac:dyDescent="0.25">
      <c r="A73" s="4" t="s">
        <v>1010</v>
      </c>
      <c r="B73" s="7">
        <v>3518</v>
      </c>
      <c r="C73" s="8">
        <v>44711</v>
      </c>
    </row>
    <row r="74" spans="1:3" ht="15" x14ac:dyDescent="0.25">
      <c r="A74" s="4" t="s">
        <v>1011</v>
      </c>
      <c r="B74" s="7">
        <v>3364</v>
      </c>
      <c r="C74" s="8">
        <v>44675</v>
      </c>
    </row>
    <row r="75" spans="1:3" ht="15" x14ac:dyDescent="0.25">
      <c r="A75" s="4" t="s">
        <v>1012</v>
      </c>
      <c r="B75" s="7">
        <v>9517</v>
      </c>
      <c r="C75" s="8">
        <v>44644</v>
      </c>
    </row>
    <row r="76" spans="1:3" ht="15" x14ac:dyDescent="0.25">
      <c r="A76" s="4" t="s">
        <v>1013</v>
      </c>
      <c r="B76" s="7">
        <v>1388</v>
      </c>
      <c r="C76" s="8">
        <v>44676</v>
      </c>
    </row>
    <row r="77" spans="1:3" ht="15" x14ac:dyDescent="0.25">
      <c r="A77" s="4" t="s">
        <v>1014</v>
      </c>
      <c r="B77" s="7">
        <v>3773</v>
      </c>
      <c r="C77" s="8">
        <v>44685</v>
      </c>
    </row>
    <row r="78" spans="1:3" ht="15" x14ac:dyDescent="0.25">
      <c r="A78" s="4" t="s">
        <v>1015</v>
      </c>
      <c r="B78" s="7">
        <v>4230</v>
      </c>
      <c r="C78" s="8">
        <v>44690</v>
      </c>
    </row>
    <row r="79" spans="1:3" ht="15" x14ac:dyDescent="0.25">
      <c r="A79" s="4" t="s">
        <v>1016</v>
      </c>
      <c r="B79" s="7">
        <v>5336</v>
      </c>
      <c r="C79" s="8">
        <v>44670</v>
      </c>
    </row>
    <row r="80" spans="1:3" ht="15" x14ac:dyDescent="0.25">
      <c r="A80" s="4" t="s">
        <v>1017</v>
      </c>
      <c r="B80" s="7">
        <v>4631</v>
      </c>
      <c r="C80" s="8">
        <v>44719</v>
      </c>
    </row>
    <row r="81" spans="1:3" ht="15" x14ac:dyDescent="0.25">
      <c r="A81" s="4" t="s">
        <v>1018</v>
      </c>
      <c r="B81" s="7">
        <v>5292</v>
      </c>
      <c r="C81" s="8">
        <v>44740</v>
      </c>
    </row>
    <row r="82" spans="1:3" ht="15" x14ac:dyDescent="0.25">
      <c r="A82" s="4" t="s">
        <v>1019</v>
      </c>
      <c r="B82" s="7">
        <v>4170</v>
      </c>
      <c r="C82" s="8">
        <v>44720</v>
      </c>
    </row>
    <row r="83" spans="1:3" ht="15" x14ac:dyDescent="0.25">
      <c r="A83" s="4" t="s">
        <v>1020</v>
      </c>
      <c r="B83" s="7">
        <v>1909</v>
      </c>
      <c r="C83" s="8">
        <v>44674</v>
      </c>
    </row>
    <row r="84" spans="1:3" ht="15" x14ac:dyDescent="0.25">
      <c r="A84" s="4" t="s">
        <v>1021</v>
      </c>
      <c r="B84" s="7">
        <v>2705</v>
      </c>
      <c r="C84" s="8">
        <v>44667</v>
      </c>
    </row>
    <row r="85" spans="1:3" ht="15" x14ac:dyDescent="0.25">
      <c r="A85" s="4" t="s">
        <v>1022</v>
      </c>
      <c r="B85" s="7">
        <v>6485</v>
      </c>
      <c r="C85" s="8">
        <v>44651</v>
      </c>
    </row>
    <row r="86" spans="1:3" ht="15" x14ac:dyDescent="0.25">
      <c r="A86" s="4" t="s">
        <v>1023</v>
      </c>
      <c r="B86" s="7">
        <v>1347</v>
      </c>
      <c r="C86" s="8">
        <v>44635</v>
      </c>
    </row>
    <row r="87" spans="1:3" ht="15" x14ac:dyDescent="0.25">
      <c r="A87" s="4" t="s">
        <v>1024</v>
      </c>
      <c r="B87" s="7">
        <v>6615</v>
      </c>
      <c r="C87" s="8">
        <v>44646</v>
      </c>
    </row>
    <row r="88" spans="1:3" ht="15" x14ac:dyDescent="0.25">
      <c r="A88" s="4" t="s">
        <v>1025</v>
      </c>
      <c r="B88" s="7">
        <v>6438</v>
      </c>
      <c r="C88" s="8">
        <v>44642</v>
      </c>
    </row>
    <row r="89" spans="1:3" ht="15" x14ac:dyDescent="0.25">
      <c r="A89" s="4" t="s">
        <v>1026</v>
      </c>
      <c r="B89" s="7">
        <v>3382</v>
      </c>
      <c r="C89" s="8">
        <v>44673</v>
      </c>
    </row>
    <row r="90" spans="1:3" ht="15" x14ac:dyDescent="0.25">
      <c r="A90" s="4" t="s">
        <v>1027</v>
      </c>
      <c r="B90" s="7">
        <v>5333</v>
      </c>
      <c r="C90" s="8">
        <v>44671</v>
      </c>
    </row>
    <row r="91" spans="1:3" ht="15" x14ac:dyDescent="0.25">
      <c r="A91" s="4" t="s">
        <v>1028</v>
      </c>
      <c r="B91" s="7">
        <v>1976</v>
      </c>
      <c r="C91" s="8">
        <v>44682</v>
      </c>
    </row>
    <row r="92" spans="1:3" ht="15" x14ac:dyDescent="0.25">
      <c r="A92" s="4" t="s">
        <v>1029</v>
      </c>
      <c r="B92" s="7">
        <v>1889</v>
      </c>
      <c r="C92" s="8">
        <v>44636</v>
      </c>
    </row>
    <row r="93" spans="1:3" ht="15" x14ac:dyDescent="0.25">
      <c r="A93" s="4" t="s">
        <v>1030</v>
      </c>
      <c r="B93" s="7">
        <v>4864</v>
      </c>
      <c r="C93" s="8">
        <v>44732</v>
      </c>
    </row>
    <row r="94" spans="1:3" ht="15" x14ac:dyDescent="0.25">
      <c r="A94" s="4" t="s">
        <v>1031</v>
      </c>
      <c r="B94" s="7">
        <v>8239</v>
      </c>
      <c r="C94" s="8">
        <v>44721</v>
      </c>
    </row>
    <row r="95" spans="1:3" ht="15" x14ac:dyDescent="0.25">
      <c r="A95" s="4" t="s">
        <v>1032</v>
      </c>
      <c r="B95" s="7">
        <v>7490</v>
      </c>
      <c r="C95" s="8">
        <v>44633</v>
      </c>
    </row>
    <row r="96" spans="1:3" ht="15" x14ac:dyDescent="0.25">
      <c r="A96" s="4" t="s">
        <v>1033</v>
      </c>
      <c r="B96" s="7">
        <v>3046</v>
      </c>
      <c r="C96" s="8">
        <v>44692</v>
      </c>
    </row>
    <row r="97" spans="1:3" ht="15" x14ac:dyDescent="0.25">
      <c r="A97" s="4" t="s">
        <v>1034</v>
      </c>
      <c r="B97" s="7">
        <v>5037</v>
      </c>
      <c r="C97" s="8">
        <v>44721</v>
      </c>
    </row>
    <row r="98" spans="1:3" ht="15" x14ac:dyDescent="0.25">
      <c r="A98" s="4" t="s">
        <v>1035</v>
      </c>
      <c r="B98" s="7">
        <v>4947</v>
      </c>
      <c r="C98" s="8">
        <v>44629</v>
      </c>
    </row>
    <row r="99" spans="1:3" ht="15" x14ac:dyDescent="0.25">
      <c r="A99" s="4" t="s">
        <v>1036</v>
      </c>
      <c r="B99" s="7">
        <v>3474</v>
      </c>
      <c r="C99" s="8">
        <v>44721</v>
      </c>
    </row>
    <row r="100" spans="1:3" ht="15" x14ac:dyDescent="0.25">
      <c r="A100" s="4" t="s">
        <v>1037</v>
      </c>
      <c r="B100" s="7">
        <v>3550</v>
      </c>
      <c r="C100" s="8">
        <v>44641</v>
      </c>
    </row>
    <row r="101" spans="1:3" ht="15" x14ac:dyDescent="0.25">
      <c r="A101" s="4" t="s">
        <v>1038</v>
      </c>
      <c r="B101" s="7">
        <v>2210</v>
      </c>
      <c r="C101" s="8">
        <v>44645</v>
      </c>
    </row>
    <row r="102" spans="1:3" ht="15" x14ac:dyDescent="0.25">
      <c r="A102" s="4" t="s">
        <v>1039</v>
      </c>
      <c r="B102" s="7">
        <v>7484</v>
      </c>
      <c r="C102" s="8">
        <v>44688</v>
      </c>
    </row>
    <row r="103" spans="1:3" ht="15" x14ac:dyDescent="0.25">
      <c r="A103" s="4" t="s">
        <v>1040</v>
      </c>
      <c r="B103" s="7">
        <v>5628</v>
      </c>
      <c r="C103" s="8">
        <v>44674</v>
      </c>
    </row>
    <row r="104" spans="1:3" ht="15" x14ac:dyDescent="0.25">
      <c r="A104" s="4" t="s">
        <v>1041</v>
      </c>
      <c r="B104" s="7">
        <v>8191</v>
      </c>
      <c r="C104" s="8">
        <v>44672</v>
      </c>
    </row>
    <row r="105" spans="1:3" ht="15" x14ac:dyDescent="0.25">
      <c r="A105" s="4" t="s">
        <v>1042</v>
      </c>
      <c r="B105" s="7">
        <v>1736</v>
      </c>
      <c r="C105" s="8">
        <v>44664</v>
      </c>
    </row>
    <row r="106" spans="1:3" ht="15" x14ac:dyDescent="0.25">
      <c r="A106" s="4" t="s">
        <v>1043</v>
      </c>
      <c r="B106" s="7">
        <v>4843</v>
      </c>
      <c r="C106" s="8">
        <v>44633</v>
      </c>
    </row>
    <row r="107" spans="1:3" ht="15" x14ac:dyDescent="0.25">
      <c r="A107" s="4" t="s">
        <v>1044</v>
      </c>
      <c r="B107" s="7">
        <v>6905</v>
      </c>
      <c r="C107" s="8">
        <v>44703</v>
      </c>
    </row>
    <row r="108" spans="1:3" ht="15" x14ac:dyDescent="0.25">
      <c r="A108" s="4" t="s">
        <v>1045</v>
      </c>
      <c r="B108" s="7">
        <v>2349</v>
      </c>
      <c r="C108" s="8">
        <v>44627</v>
      </c>
    </row>
    <row r="109" spans="1:3" ht="15" x14ac:dyDescent="0.25">
      <c r="A109" s="4" t="s">
        <v>1046</v>
      </c>
      <c r="B109" s="7">
        <v>8277</v>
      </c>
      <c r="C109" s="8">
        <v>44665</v>
      </c>
    </row>
    <row r="110" spans="1:3" ht="15" x14ac:dyDescent="0.25">
      <c r="A110" s="4" t="s">
        <v>1047</v>
      </c>
      <c r="B110" s="7">
        <v>8384</v>
      </c>
      <c r="C110" s="8">
        <v>44692</v>
      </c>
    </row>
    <row r="111" spans="1:3" ht="15" x14ac:dyDescent="0.25">
      <c r="A111" s="4" t="s">
        <v>1048</v>
      </c>
      <c r="B111" s="7">
        <v>8264</v>
      </c>
      <c r="C111" s="8">
        <v>44709</v>
      </c>
    </row>
    <row r="112" spans="1:3" ht="15" x14ac:dyDescent="0.25">
      <c r="A112" s="4" t="s">
        <v>1049</v>
      </c>
      <c r="B112" s="7">
        <v>3545</v>
      </c>
      <c r="C112" s="8">
        <v>44652</v>
      </c>
    </row>
    <row r="113" spans="1:3" ht="15" x14ac:dyDescent="0.25">
      <c r="A113" s="4" t="s">
        <v>1050</v>
      </c>
      <c r="B113" s="7">
        <v>3417</v>
      </c>
      <c r="C113" s="8">
        <v>44632</v>
      </c>
    </row>
    <row r="114" spans="1:3" ht="15" x14ac:dyDescent="0.25">
      <c r="A114" s="4" t="s">
        <v>1051</v>
      </c>
      <c r="B114" s="7">
        <v>4568</v>
      </c>
      <c r="C114" s="8">
        <v>44671</v>
      </c>
    </row>
    <row r="115" spans="1:3" ht="15" x14ac:dyDescent="0.25">
      <c r="A115" s="4" t="s">
        <v>1052</v>
      </c>
      <c r="B115" s="7">
        <v>7718</v>
      </c>
      <c r="C115" s="8">
        <v>44666</v>
      </c>
    </row>
    <row r="116" spans="1:3" ht="15" x14ac:dyDescent="0.25">
      <c r="A116" s="4" t="s">
        <v>1053</v>
      </c>
      <c r="B116" s="7">
        <v>1792</v>
      </c>
      <c r="C116" s="8">
        <v>44631</v>
      </c>
    </row>
    <row r="117" spans="1:3" ht="15" x14ac:dyDescent="0.25">
      <c r="A117" s="4" t="s">
        <v>1054</v>
      </c>
      <c r="B117" s="7">
        <v>3692</v>
      </c>
      <c r="C117" s="8">
        <v>44709</v>
      </c>
    </row>
    <row r="118" spans="1:3" ht="15" x14ac:dyDescent="0.25">
      <c r="A118" s="4" t="s">
        <v>1055</v>
      </c>
      <c r="B118" s="7">
        <v>3165</v>
      </c>
      <c r="C118" s="8">
        <v>44702</v>
      </c>
    </row>
    <row r="119" spans="1:3" ht="15" x14ac:dyDescent="0.25">
      <c r="A119" s="4" t="s">
        <v>1056</v>
      </c>
      <c r="B119" s="7">
        <v>1007</v>
      </c>
      <c r="C119" s="8">
        <v>44671</v>
      </c>
    </row>
    <row r="120" spans="1:3" ht="15" x14ac:dyDescent="0.25">
      <c r="A120" s="4" t="s">
        <v>1057</v>
      </c>
      <c r="B120" s="7">
        <v>6280</v>
      </c>
      <c r="C120" s="8">
        <v>44685</v>
      </c>
    </row>
    <row r="121" spans="1:3" ht="15" x14ac:dyDescent="0.25">
      <c r="A121" s="4" t="s">
        <v>1058</v>
      </c>
      <c r="B121" s="7">
        <v>4245</v>
      </c>
      <c r="C121" s="8">
        <v>44711</v>
      </c>
    </row>
    <row r="122" spans="1:3" ht="15" x14ac:dyDescent="0.25">
      <c r="A122" s="4" t="s">
        <v>1059</v>
      </c>
      <c r="B122" s="7">
        <v>5666</v>
      </c>
      <c r="C122" s="8">
        <v>44675</v>
      </c>
    </row>
    <row r="123" spans="1:3" ht="15" x14ac:dyDescent="0.25">
      <c r="A123" s="4" t="s">
        <v>1060</v>
      </c>
      <c r="B123" s="7">
        <v>5636</v>
      </c>
      <c r="C123" s="8">
        <v>44638</v>
      </c>
    </row>
    <row r="124" spans="1:3" ht="15" x14ac:dyDescent="0.25">
      <c r="A124" s="4" t="s">
        <v>1061</v>
      </c>
      <c r="B124" s="7">
        <v>5706</v>
      </c>
      <c r="C124" s="8">
        <v>44719</v>
      </c>
    </row>
    <row r="125" spans="1:3" ht="15" x14ac:dyDescent="0.25">
      <c r="A125" s="4" t="s">
        <v>1062</v>
      </c>
      <c r="B125" s="7">
        <v>7960</v>
      </c>
      <c r="C125" s="8">
        <v>44655</v>
      </c>
    </row>
    <row r="126" spans="1:3" ht="15" x14ac:dyDescent="0.25">
      <c r="A126" s="4" t="s">
        <v>1063</v>
      </c>
      <c r="B126" s="7">
        <v>3865</v>
      </c>
      <c r="C126" s="8">
        <v>44704</v>
      </c>
    </row>
    <row r="127" spans="1:3" ht="15" x14ac:dyDescent="0.25">
      <c r="A127" s="4" t="s">
        <v>1064</v>
      </c>
      <c r="B127" s="7">
        <v>3052</v>
      </c>
      <c r="C127" s="8">
        <v>44646</v>
      </c>
    </row>
    <row r="128" spans="1:3" ht="15" x14ac:dyDescent="0.25">
      <c r="A128" s="4" t="s">
        <v>1065</v>
      </c>
      <c r="B128" s="7">
        <v>7210</v>
      </c>
      <c r="C128" s="8">
        <v>44713</v>
      </c>
    </row>
    <row r="129" spans="1:3" ht="15" x14ac:dyDescent="0.25">
      <c r="A129" s="4" t="s">
        <v>1066</v>
      </c>
      <c r="B129" s="7">
        <v>3350</v>
      </c>
      <c r="C129" s="8">
        <v>44730</v>
      </c>
    </row>
    <row r="130" spans="1:3" ht="15" x14ac:dyDescent="0.25">
      <c r="A130" s="4" t="s">
        <v>1067</v>
      </c>
      <c r="B130" s="7">
        <v>7637</v>
      </c>
      <c r="C130" s="8">
        <v>44703</v>
      </c>
    </row>
    <row r="131" spans="1:3" ht="15" x14ac:dyDescent="0.25">
      <c r="A131" s="4" t="s">
        <v>1068</v>
      </c>
      <c r="B131" s="7">
        <v>1239</v>
      </c>
      <c r="C131" s="8">
        <v>44660</v>
      </c>
    </row>
    <row r="132" spans="1:3" ht="15" x14ac:dyDescent="0.25">
      <c r="A132" s="4" t="s">
        <v>1069</v>
      </c>
      <c r="B132" s="7">
        <v>1227</v>
      </c>
      <c r="C132" s="8">
        <v>44714</v>
      </c>
    </row>
    <row r="133" spans="1:3" ht="15" x14ac:dyDescent="0.25">
      <c r="A133" s="4" t="s">
        <v>1070</v>
      </c>
      <c r="B133" s="7">
        <v>6400</v>
      </c>
      <c r="C133" s="8">
        <v>44690</v>
      </c>
    </row>
    <row r="134" spans="1:3" ht="15" x14ac:dyDescent="0.25">
      <c r="A134" s="4" t="s">
        <v>1071</v>
      </c>
      <c r="B134" s="7">
        <v>3806</v>
      </c>
      <c r="C134" s="8">
        <v>44740</v>
      </c>
    </row>
    <row r="135" spans="1:3" ht="15" x14ac:dyDescent="0.25">
      <c r="A135" s="4" t="s">
        <v>1072</v>
      </c>
      <c r="B135" s="7">
        <v>4653</v>
      </c>
      <c r="C135" s="8">
        <v>44696</v>
      </c>
    </row>
    <row r="136" spans="1:3" ht="15" x14ac:dyDescent="0.25">
      <c r="A136" s="4" t="s">
        <v>1073</v>
      </c>
      <c r="B136" s="7">
        <v>2357</v>
      </c>
      <c r="C136" s="8">
        <v>44673</v>
      </c>
    </row>
    <row r="137" spans="1:3" ht="15" x14ac:dyDescent="0.25">
      <c r="A137" s="4" t="s">
        <v>1074</v>
      </c>
      <c r="B137" s="7">
        <v>5477</v>
      </c>
      <c r="C137" s="8">
        <v>44663</v>
      </c>
    </row>
    <row r="138" spans="1:3" ht="15" x14ac:dyDescent="0.25">
      <c r="A138" s="4" t="s">
        <v>1075</v>
      </c>
      <c r="B138" s="7">
        <v>4463</v>
      </c>
      <c r="C138" s="8">
        <v>44719</v>
      </c>
    </row>
    <row r="139" spans="1:3" ht="15" x14ac:dyDescent="0.25">
      <c r="A139" s="4" t="s">
        <v>1076</v>
      </c>
      <c r="B139" s="7">
        <v>6266</v>
      </c>
      <c r="C139" s="8">
        <v>44671</v>
      </c>
    </row>
    <row r="140" spans="1:3" ht="15" x14ac:dyDescent="0.25">
      <c r="A140" s="4" t="s">
        <v>1077</v>
      </c>
      <c r="B140" s="7">
        <v>1427</v>
      </c>
      <c r="C140" s="8">
        <v>44671</v>
      </c>
    </row>
    <row r="141" spans="1:3" ht="15" x14ac:dyDescent="0.25">
      <c r="A141" s="4" t="s">
        <v>1078</v>
      </c>
      <c r="B141" s="7">
        <v>1110</v>
      </c>
      <c r="C141" s="8">
        <v>44732</v>
      </c>
    </row>
    <row r="142" spans="1:3" ht="15" x14ac:dyDescent="0.25">
      <c r="A142" s="4" t="s">
        <v>1079</v>
      </c>
      <c r="B142" s="7">
        <v>1095</v>
      </c>
      <c r="C142" s="8">
        <v>44699</v>
      </c>
    </row>
    <row r="143" spans="1:3" ht="15" x14ac:dyDescent="0.25">
      <c r="A143" s="4" t="s">
        <v>1080</v>
      </c>
      <c r="B143" s="7">
        <v>5147</v>
      </c>
      <c r="C143" s="8">
        <v>44671</v>
      </c>
    </row>
    <row r="144" spans="1:3" ht="15" x14ac:dyDescent="0.25">
      <c r="A144" s="4" t="s">
        <v>1081</v>
      </c>
      <c r="B144" s="7">
        <v>2306</v>
      </c>
      <c r="C144" s="8">
        <v>44689</v>
      </c>
    </row>
    <row r="145" spans="1:3" ht="15" x14ac:dyDescent="0.25">
      <c r="A145" s="4" t="s">
        <v>1082</v>
      </c>
      <c r="B145" s="7">
        <v>9349</v>
      </c>
      <c r="C145" s="8">
        <v>44630</v>
      </c>
    </row>
    <row r="146" spans="1:3" ht="15" x14ac:dyDescent="0.25">
      <c r="A146" s="4" t="s">
        <v>1083</v>
      </c>
      <c r="B146" s="7">
        <v>2159</v>
      </c>
      <c r="C146" s="8">
        <v>44721</v>
      </c>
    </row>
    <row r="147" spans="1:3" ht="15" x14ac:dyDescent="0.25">
      <c r="A147" s="4" t="s">
        <v>1084</v>
      </c>
      <c r="B147" s="7">
        <v>7297</v>
      </c>
      <c r="C147" s="8">
        <v>44711</v>
      </c>
    </row>
    <row r="148" spans="1:3" ht="15" x14ac:dyDescent="0.25">
      <c r="A148" s="4" t="s">
        <v>1085</v>
      </c>
      <c r="B148" s="7">
        <v>1773</v>
      </c>
      <c r="C148" s="8">
        <v>44648</v>
      </c>
    </row>
    <row r="149" spans="1:3" ht="15" x14ac:dyDescent="0.25">
      <c r="A149" s="4" t="s">
        <v>1086</v>
      </c>
      <c r="B149" s="7">
        <v>8185</v>
      </c>
      <c r="C149" s="8">
        <v>44626</v>
      </c>
    </row>
    <row r="150" spans="1:3" ht="15" x14ac:dyDescent="0.25">
      <c r="A150" s="4" t="s">
        <v>1087</v>
      </c>
      <c r="B150" s="7">
        <v>2449</v>
      </c>
      <c r="C150" s="8">
        <v>44735</v>
      </c>
    </row>
    <row r="151" spans="1:3" ht="15" x14ac:dyDescent="0.25">
      <c r="A151" s="4" t="s">
        <v>1088</v>
      </c>
      <c r="B151" s="7">
        <v>7278</v>
      </c>
      <c r="C151" s="8">
        <v>44721</v>
      </c>
    </row>
    <row r="152" spans="1:3" ht="15" x14ac:dyDescent="0.25">
      <c r="A152" s="4" t="s">
        <v>1089</v>
      </c>
      <c r="B152" s="7">
        <v>5522</v>
      </c>
      <c r="C152" s="8">
        <v>44662</v>
      </c>
    </row>
    <row r="153" spans="1:3" ht="15" x14ac:dyDescent="0.25">
      <c r="A153" s="4" t="s">
        <v>1090</v>
      </c>
      <c r="B153" s="7">
        <v>9531</v>
      </c>
      <c r="C153" s="8">
        <v>44666</v>
      </c>
    </row>
    <row r="154" spans="1:3" ht="15" x14ac:dyDescent="0.25">
      <c r="A154" s="4" t="s">
        <v>1091</v>
      </c>
      <c r="B154" s="7">
        <v>3065</v>
      </c>
      <c r="C154" s="8">
        <v>44647</v>
      </c>
    </row>
    <row r="155" spans="1:3" ht="15" x14ac:dyDescent="0.25">
      <c r="A155" s="4" t="s">
        <v>1092</v>
      </c>
      <c r="B155" s="7">
        <v>6546</v>
      </c>
      <c r="C155" s="8">
        <v>44728</v>
      </c>
    </row>
    <row r="156" spans="1:3" ht="15" x14ac:dyDescent="0.25">
      <c r="A156" s="4" t="s">
        <v>1093</v>
      </c>
      <c r="B156" s="7">
        <v>7648</v>
      </c>
      <c r="C156" s="8">
        <v>44629</v>
      </c>
    </row>
    <row r="157" spans="1:3" ht="15" x14ac:dyDescent="0.25">
      <c r="A157" s="4" t="s">
        <v>1094</v>
      </c>
      <c r="B157" s="7">
        <v>9025</v>
      </c>
      <c r="C157" s="8">
        <v>44670</v>
      </c>
    </row>
    <row r="158" spans="1:3" ht="15" x14ac:dyDescent="0.25">
      <c r="A158" s="4" t="s">
        <v>1095</v>
      </c>
      <c r="B158" s="7">
        <v>9932</v>
      </c>
      <c r="C158" s="8">
        <v>44713</v>
      </c>
    </row>
    <row r="159" spans="1:3" ht="15" x14ac:dyDescent="0.25">
      <c r="A159" s="4" t="s">
        <v>1096</v>
      </c>
      <c r="B159" s="7">
        <v>3128</v>
      </c>
      <c r="C159" s="8">
        <v>44708</v>
      </c>
    </row>
    <row r="160" spans="1:3" ht="15" x14ac:dyDescent="0.25">
      <c r="A160" s="4" t="s">
        <v>1097</v>
      </c>
      <c r="B160" s="7">
        <v>8389</v>
      </c>
      <c r="C160" s="8">
        <v>44641</v>
      </c>
    </row>
    <row r="161" spans="1:3" ht="15" x14ac:dyDescent="0.25">
      <c r="A161" s="4" t="s">
        <v>1098</v>
      </c>
      <c r="B161" s="7">
        <v>8544</v>
      </c>
      <c r="C161" s="8">
        <v>44734</v>
      </c>
    </row>
    <row r="162" spans="1:3" ht="15" x14ac:dyDescent="0.25">
      <c r="A162" s="4" t="s">
        <v>1099</v>
      </c>
      <c r="B162" s="7">
        <v>9725</v>
      </c>
      <c r="C162" s="8">
        <v>44679</v>
      </c>
    </row>
    <row r="163" spans="1:3" ht="15" x14ac:dyDescent="0.25">
      <c r="A163" s="4" t="s">
        <v>1100</v>
      </c>
      <c r="B163" s="7">
        <v>3095</v>
      </c>
      <c r="C163" s="8">
        <v>44717</v>
      </c>
    </row>
    <row r="164" spans="1:3" ht="15" x14ac:dyDescent="0.25">
      <c r="A164" s="4" t="s">
        <v>1101</v>
      </c>
      <c r="B164" s="7">
        <v>5330</v>
      </c>
      <c r="C164" s="8">
        <v>44678</v>
      </c>
    </row>
    <row r="165" spans="1:3" ht="15" x14ac:dyDescent="0.25">
      <c r="A165" s="4" t="s">
        <v>1102</v>
      </c>
      <c r="B165" s="7">
        <v>8787</v>
      </c>
      <c r="C165" s="8">
        <v>44676</v>
      </c>
    </row>
    <row r="166" spans="1:3" ht="15" x14ac:dyDescent="0.25">
      <c r="A166" s="4" t="s">
        <v>1103</v>
      </c>
      <c r="B166" s="7">
        <v>6329</v>
      </c>
      <c r="C166" s="8">
        <v>44694</v>
      </c>
    </row>
    <row r="167" spans="1:3" ht="15" x14ac:dyDescent="0.25">
      <c r="A167" s="4" t="s">
        <v>1104</v>
      </c>
      <c r="B167" s="7">
        <v>8314</v>
      </c>
      <c r="C167" s="8">
        <v>44644</v>
      </c>
    </row>
    <row r="168" spans="1:3" ht="15" x14ac:dyDescent="0.25">
      <c r="A168" s="4" t="s">
        <v>1105</v>
      </c>
      <c r="B168" s="7">
        <v>1800</v>
      </c>
      <c r="C168" s="8">
        <v>44718</v>
      </c>
    </row>
    <row r="169" spans="1:3" ht="15" x14ac:dyDescent="0.25">
      <c r="A169" s="4" t="s">
        <v>1106</v>
      </c>
      <c r="B169" s="7">
        <v>8937</v>
      </c>
      <c r="C169" s="8">
        <v>44640</v>
      </c>
    </row>
    <row r="170" spans="1:3" ht="15" x14ac:dyDescent="0.25">
      <c r="A170" s="4" t="s">
        <v>1107</v>
      </c>
      <c r="B170" s="7">
        <v>3413</v>
      </c>
      <c r="C170" s="8">
        <v>44632</v>
      </c>
    </row>
    <row r="171" spans="1:3" ht="15" x14ac:dyDescent="0.25">
      <c r="A171" s="4" t="s">
        <v>1108</v>
      </c>
      <c r="B171" s="7">
        <v>9645</v>
      </c>
      <c r="C171" s="8">
        <v>44624</v>
      </c>
    </row>
    <row r="172" spans="1:3" ht="15" x14ac:dyDescent="0.25">
      <c r="A172" s="4" t="s">
        <v>1109</v>
      </c>
      <c r="B172" s="7">
        <v>9546</v>
      </c>
      <c r="C172" s="8">
        <v>44664</v>
      </c>
    </row>
    <row r="173" spans="1:3" ht="15" x14ac:dyDescent="0.25">
      <c r="A173" s="4" t="s">
        <v>1110</v>
      </c>
      <c r="B173" s="7">
        <v>6643</v>
      </c>
      <c r="C173" s="8">
        <v>44731</v>
      </c>
    </row>
    <row r="174" spans="1:3" ht="15" x14ac:dyDescent="0.25">
      <c r="A174" s="4" t="s">
        <v>1111</v>
      </c>
      <c r="B174" s="7">
        <v>2313</v>
      </c>
      <c r="C174" s="8">
        <v>44690</v>
      </c>
    </row>
    <row r="175" spans="1:3" ht="15" x14ac:dyDescent="0.25">
      <c r="A175" s="4" t="s">
        <v>1112</v>
      </c>
      <c r="B175" s="7">
        <v>4769</v>
      </c>
      <c r="C175" s="8">
        <v>44691</v>
      </c>
    </row>
    <row r="176" spans="1:3" ht="15" x14ac:dyDescent="0.25">
      <c r="A176" s="4" t="s">
        <v>1113</v>
      </c>
      <c r="B176" s="7">
        <v>1812</v>
      </c>
      <c r="C176" s="8">
        <v>44640</v>
      </c>
    </row>
    <row r="177" spans="1:3" ht="15" x14ac:dyDescent="0.25">
      <c r="A177" s="4" t="s">
        <v>1114</v>
      </c>
      <c r="B177" s="7">
        <v>9768</v>
      </c>
      <c r="C177" s="8">
        <v>44718</v>
      </c>
    </row>
    <row r="178" spans="1:3" ht="15" x14ac:dyDescent="0.25">
      <c r="A178" s="4" t="s">
        <v>1115</v>
      </c>
      <c r="B178" s="7">
        <v>3916</v>
      </c>
      <c r="C178" s="8">
        <v>44650</v>
      </c>
    </row>
    <row r="179" spans="1:3" ht="15" x14ac:dyDescent="0.25">
      <c r="A179" s="4" t="s">
        <v>1116</v>
      </c>
      <c r="B179" s="7">
        <v>6017</v>
      </c>
      <c r="C179" s="8">
        <v>44622</v>
      </c>
    </row>
    <row r="180" spans="1:3" ht="15" x14ac:dyDescent="0.25">
      <c r="A180" s="4" t="s">
        <v>1117</v>
      </c>
      <c r="B180" s="7">
        <v>5005</v>
      </c>
      <c r="C180" s="8">
        <v>44715</v>
      </c>
    </row>
    <row r="181" spans="1:3" ht="15" x14ac:dyDescent="0.25">
      <c r="A181" s="4" t="s">
        <v>1118</v>
      </c>
      <c r="B181" s="7">
        <v>1517</v>
      </c>
      <c r="C181" s="8">
        <v>44647</v>
      </c>
    </row>
    <row r="182" spans="1:3" ht="15" x14ac:dyDescent="0.25">
      <c r="A182" s="4" t="s">
        <v>1119</v>
      </c>
      <c r="B182" s="7">
        <v>4326</v>
      </c>
      <c r="C182" s="8">
        <v>44723</v>
      </c>
    </row>
    <row r="183" spans="1:3" ht="15" x14ac:dyDescent="0.25">
      <c r="A183" s="4" t="s">
        <v>1120</v>
      </c>
      <c r="B183" s="7">
        <v>1846</v>
      </c>
      <c r="C183" s="8">
        <v>44695</v>
      </c>
    </row>
    <row r="184" spans="1:3" ht="15" x14ac:dyDescent="0.25">
      <c r="A184" s="4" t="s">
        <v>1121</v>
      </c>
      <c r="B184" s="7">
        <v>5894</v>
      </c>
      <c r="C184" s="8">
        <v>44646</v>
      </c>
    </row>
    <row r="185" spans="1:3" ht="15" x14ac:dyDescent="0.25">
      <c r="A185" s="4" t="s">
        <v>1122</v>
      </c>
      <c r="B185" s="7">
        <v>6712</v>
      </c>
      <c r="C185" s="8">
        <v>44661</v>
      </c>
    </row>
    <row r="186" spans="1:3" ht="15" x14ac:dyDescent="0.25">
      <c r="A186" s="4" t="s">
        <v>1123</v>
      </c>
      <c r="B186" s="7">
        <v>2507</v>
      </c>
      <c r="C186" s="8">
        <v>44647</v>
      </c>
    </row>
    <row r="187" spans="1:3" ht="15" x14ac:dyDescent="0.25">
      <c r="A187" s="4" t="s">
        <v>1124</v>
      </c>
      <c r="B187" s="7">
        <v>6390</v>
      </c>
      <c r="C187" s="8">
        <v>44724</v>
      </c>
    </row>
    <row r="188" spans="1:3" ht="15" x14ac:dyDescent="0.25">
      <c r="A188" s="4" t="s">
        <v>1125</v>
      </c>
      <c r="B188" s="7">
        <v>8981</v>
      </c>
      <c r="C188" s="8">
        <v>44703</v>
      </c>
    </row>
    <row r="189" spans="1:3" ht="15" x14ac:dyDescent="0.25">
      <c r="A189" s="4" t="s">
        <v>1126</v>
      </c>
      <c r="B189" s="7">
        <v>4905</v>
      </c>
      <c r="C189" s="8">
        <v>44641</v>
      </c>
    </row>
    <row r="190" spans="1:3" ht="15" x14ac:dyDescent="0.25">
      <c r="A190" s="4" t="s">
        <v>1127</v>
      </c>
      <c r="B190" s="7">
        <v>9646</v>
      </c>
      <c r="C190" s="8">
        <v>44704</v>
      </c>
    </row>
    <row r="191" spans="1:3" ht="15" x14ac:dyDescent="0.25">
      <c r="A191" s="4" t="s">
        <v>1128</v>
      </c>
      <c r="B191" s="7">
        <v>5567</v>
      </c>
      <c r="C191" s="8">
        <v>44701</v>
      </c>
    </row>
    <row r="192" spans="1:3" ht="15" x14ac:dyDescent="0.25">
      <c r="A192" s="4" t="s">
        <v>1129</v>
      </c>
      <c r="B192" s="7">
        <v>5113</v>
      </c>
      <c r="C192" s="8">
        <v>44622</v>
      </c>
    </row>
    <row r="193" spans="1:3" ht="15" x14ac:dyDescent="0.25">
      <c r="A193" s="4" t="s">
        <v>1130</v>
      </c>
      <c r="B193" s="7">
        <v>9876</v>
      </c>
      <c r="C193" s="8">
        <v>44622</v>
      </c>
    </row>
    <row r="194" spans="1:3" ht="15" x14ac:dyDescent="0.25">
      <c r="A194" s="4" t="s">
        <v>1131</v>
      </c>
      <c r="B194" s="7">
        <v>6483</v>
      </c>
      <c r="C194" s="8">
        <v>44735</v>
      </c>
    </row>
    <row r="195" spans="1:3" ht="15" x14ac:dyDescent="0.25">
      <c r="A195" s="4" t="s">
        <v>1132</v>
      </c>
      <c r="B195" s="7">
        <v>9294</v>
      </c>
      <c r="C195" s="8">
        <v>44680</v>
      </c>
    </row>
    <row r="196" spans="1:3" ht="15" x14ac:dyDescent="0.25">
      <c r="A196" s="4" t="s">
        <v>1133</v>
      </c>
      <c r="B196" s="7">
        <v>5549</v>
      </c>
      <c r="C196" s="8">
        <v>44705</v>
      </c>
    </row>
    <row r="197" spans="1:3" ht="15" x14ac:dyDescent="0.25">
      <c r="A197" s="4" t="s">
        <v>1134</v>
      </c>
      <c r="B197" s="7">
        <v>7089</v>
      </c>
      <c r="C197" s="8">
        <v>44715</v>
      </c>
    </row>
    <row r="198" spans="1:3" ht="15" x14ac:dyDescent="0.25">
      <c r="A198" s="4" t="s">
        <v>1135</v>
      </c>
      <c r="B198" s="7">
        <v>8367</v>
      </c>
      <c r="C198" s="8">
        <v>44630</v>
      </c>
    </row>
    <row r="199" spans="1:3" ht="15" x14ac:dyDescent="0.25">
      <c r="A199" s="4" t="s">
        <v>1136</v>
      </c>
      <c r="B199" s="7">
        <v>1647</v>
      </c>
      <c r="C199" s="8">
        <v>44672</v>
      </c>
    </row>
    <row r="200" spans="1:3" ht="15" x14ac:dyDescent="0.25">
      <c r="A200" s="4" t="s">
        <v>1137</v>
      </c>
      <c r="B200" s="7">
        <v>6398</v>
      </c>
      <c r="C200" s="8">
        <v>44656</v>
      </c>
    </row>
    <row r="201" spans="1:3" ht="15" x14ac:dyDescent="0.25">
      <c r="A201" s="4" t="s">
        <v>1138</v>
      </c>
      <c r="B201" s="7">
        <v>7001</v>
      </c>
      <c r="C201" s="8">
        <v>44650</v>
      </c>
    </row>
    <row r="202" spans="1:3" ht="15" x14ac:dyDescent="0.25">
      <c r="A202" s="4" t="s">
        <v>1139</v>
      </c>
      <c r="B202" s="7">
        <v>3384</v>
      </c>
      <c r="C202" s="8">
        <v>44656</v>
      </c>
    </row>
    <row r="203" spans="1:3" ht="15" x14ac:dyDescent="0.25">
      <c r="A203" s="4" t="s">
        <v>1140</v>
      </c>
      <c r="B203" s="7">
        <v>9065</v>
      </c>
      <c r="C203" s="8">
        <v>44630</v>
      </c>
    </row>
    <row r="204" spans="1:3" ht="15" x14ac:dyDescent="0.25">
      <c r="A204" s="4" t="s">
        <v>1141</v>
      </c>
      <c r="B204" s="7">
        <v>3668</v>
      </c>
      <c r="C204" s="8">
        <v>44684</v>
      </c>
    </row>
    <row r="205" spans="1:3" ht="15" x14ac:dyDescent="0.25">
      <c r="A205" s="4" t="s">
        <v>1142</v>
      </c>
      <c r="B205" s="7">
        <v>5812</v>
      </c>
      <c r="C205" s="8">
        <v>44662</v>
      </c>
    </row>
    <row r="206" spans="1:3" ht="15" x14ac:dyDescent="0.25">
      <c r="A206" s="4" t="s">
        <v>1143</v>
      </c>
      <c r="B206" s="7">
        <v>3716</v>
      </c>
      <c r="C206" s="8">
        <v>44696</v>
      </c>
    </row>
    <row r="207" spans="1:3" ht="15" x14ac:dyDescent="0.25">
      <c r="A207" s="4" t="s">
        <v>1144</v>
      </c>
      <c r="B207" s="7">
        <v>4269</v>
      </c>
      <c r="C207" s="8">
        <v>44734</v>
      </c>
    </row>
    <row r="208" spans="1:3" ht="15" x14ac:dyDescent="0.25">
      <c r="A208" s="4" t="s">
        <v>1145</v>
      </c>
      <c r="B208" s="7">
        <v>5712</v>
      </c>
      <c r="C208" s="8">
        <v>44702</v>
      </c>
    </row>
    <row r="209" spans="1:3" ht="15" x14ac:dyDescent="0.25">
      <c r="A209" s="4" t="s">
        <v>1146</v>
      </c>
      <c r="B209" s="7">
        <v>4662</v>
      </c>
      <c r="C209" s="8">
        <v>44644</v>
      </c>
    </row>
    <row r="210" spans="1:3" ht="15" x14ac:dyDescent="0.25">
      <c r="A210" s="4" t="s">
        <v>1147</v>
      </c>
      <c r="B210" s="7">
        <v>5785</v>
      </c>
      <c r="C210" s="8">
        <v>44662</v>
      </c>
    </row>
    <row r="211" spans="1:3" ht="15" x14ac:dyDescent="0.25">
      <c r="A211" s="4" t="s">
        <v>1148</v>
      </c>
      <c r="B211" s="7">
        <v>9029</v>
      </c>
      <c r="C211" s="8">
        <v>44656</v>
      </c>
    </row>
    <row r="212" spans="1:3" ht="15" x14ac:dyDescent="0.25">
      <c r="A212" s="4" t="s">
        <v>1149</v>
      </c>
      <c r="B212" s="7">
        <v>6874</v>
      </c>
      <c r="C212" s="8">
        <v>44681</v>
      </c>
    </row>
    <row r="213" spans="1:3" ht="15" x14ac:dyDescent="0.25">
      <c r="A213" s="4" t="s">
        <v>1150</v>
      </c>
      <c r="B213" s="7">
        <v>9340</v>
      </c>
      <c r="C213" s="8">
        <v>44660</v>
      </c>
    </row>
    <row r="214" spans="1:3" ht="15" x14ac:dyDescent="0.25">
      <c r="A214" s="4" t="s">
        <v>1151</v>
      </c>
      <c r="B214" s="7">
        <v>3379</v>
      </c>
      <c r="C214" s="8">
        <v>44690</v>
      </c>
    </row>
    <row r="215" spans="1:3" ht="15" x14ac:dyDescent="0.25">
      <c r="A215" s="4" t="s">
        <v>1152</v>
      </c>
      <c r="B215" s="7">
        <v>2233</v>
      </c>
      <c r="C215" s="8">
        <v>44691</v>
      </c>
    </row>
    <row r="216" spans="1:3" ht="15" x14ac:dyDescent="0.25">
      <c r="A216" s="4" t="s">
        <v>1153</v>
      </c>
      <c r="B216" s="7">
        <v>3659</v>
      </c>
      <c r="C216" s="8">
        <v>44623</v>
      </c>
    </row>
    <row r="217" spans="1:3" ht="15" x14ac:dyDescent="0.25">
      <c r="A217" s="4" t="s">
        <v>1154</v>
      </c>
      <c r="B217" s="7">
        <v>5540</v>
      </c>
      <c r="C217" s="8">
        <v>44718</v>
      </c>
    </row>
    <row r="218" spans="1:3" ht="15" x14ac:dyDescent="0.25">
      <c r="A218" s="4" t="s">
        <v>1155</v>
      </c>
      <c r="B218" s="7">
        <v>6969</v>
      </c>
      <c r="C218" s="8">
        <v>44668</v>
      </c>
    </row>
    <row r="219" spans="1:3" ht="15" x14ac:dyDescent="0.25">
      <c r="A219" s="4" t="s">
        <v>1156</v>
      </c>
      <c r="B219" s="7">
        <v>3699</v>
      </c>
      <c r="C219" s="8">
        <v>44702</v>
      </c>
    </row>
    <row r="220" spans="1:3" ht="15" x14ac:dyDescent="0.25">
      <c r="A220" s="4" t="s">
        <v>1157</v>
      </c>
      <c r="B220" s="7">
        <v>8774</v>
      </c>
      <c r="C220" s="8">
        <v>44649</v>
      </c>
    </row>
    <row r="221" spans="1:3" ht="15" x14ac:dyDescent="0.25">
      <c r="A221" s="4" t="s">
        <v>1158</v>
      </c>
      <c r="B221" s="7">
        <v>7131</v>
      </c>
      <c r="C221" s="8">
        <v>44670</v>
      </c>
    </row>
    <row r="222" spans="1:3" ht="15" x14ac:dyDescent="0.25">
      <c r="A222" s="4" t="s">
        <v>1159</v>
      </c>
      <c r="B222" s="7">
        <v>8734</v>
      </c>
      <c r="C222" s="8">
        <v>44742</v>
      </c>
    </row>
    <row r="223" spans="1:3" ht="15" x14ac:dyDescent="0.25">
      <c r="A223" s="4" t="s">
        <v>1160</v>
      </c>
      <c r="B223" s="7">
        <v>8629</v>
      </c>
      <c r="C223" s="8">
        <v>44717</v>
      </c>
    </row>
    <row r="224" spans="1:3" ht="15" x14ac:dyDescent="0.25">
      <c r="A224" s="4" t="s">
        <v>1161</v>
      </c>
      <c r="B224" s="7">
        <v>5857</v>
      </c>
      <c r="C224" s="8">
        <v>44646</v>
      </c>
    </row>
    <row r="225" spans="1:3" ht="15" x14ac:dyDescent="0.25">
      <c r="A225" s="4" t="s">
        <v>1162</v>
      </c>
      <c r="B225" s="7">
        <v>2588</v>
      </c>
      <c r="C225" s="8">
        <v>44655</v>
      </c>
    </row>
    <row r="226" spans="1:3" ht="15" x14ac:dyDescent="0.25">
      <c r="A226" s="4" t="s">
        <v>1163</v>
      </c>
      <c r="B226" s="7">
        <v>6462</v>
      </c>
      <c r="C226" s="8">
        <v>44669</v>
      </c>
    </row>
    <row r="227" spans="1:3" ht="15" x14ac:dyDescent="0.25">
      <c r="A227" s="4" t="s">
        <v>1164</v>
      </c>
      <c r="B227" s="7">
        <v>4389</v>
      </c>
      <c r="C227" s="8">
        <v>44643</v>
      </c>
    </row>
    <row r="228" spans="1:3" ht="15" x14ac:dyDescent="0.25">
      <c r="A228" s="4" t="s">
        <v>1165</v>
      </c>
      <c r="B228" s="7">
        <v>8620</v>
      </c>
      <c r="C228" s="8">
        <v>44733</v>
      </c>
    </row>
    <row r="229" spans="1:3" ht="15" x14ac:dyDescent="0.25">
      <c r="A229" s="4" t="s">
        <v>1166</v>
      </c>
      <c r="B229" s="7">
        <v>7887</v>
      </c>
      <c r="C229" s="8">
        <v>44739</v>
      </c>
    </row>
    <row r="230" spans="1:3" ht="15" x14ac:dyDescent="0.25">
      <c r="A230" s="4" t="s">
        <v>1167</v>
      </c>
      <c r="B230" s="7">
        <v>5944</v>
      </c>
      <c r="C230" s="8">
        <v>44698</v>
      </c>
    </row>
    <row r="231" spans="1:3" ht="15" x14ac:dyDescent="0.25">
      <c r="A231" s="4" t="s">
        <v>1168</v>
      </c>
      <c r="B231" s="7">
        <v>8478</v>
      </c>
      <c r="C231" s="8">
        <v>44704</v>
      </c>
    </row>
    <row r="232" spans="1:3" ht="15" x14ac:dyDescent="0.25">
      <c r="A232" s="4" t="s">
        <v>1169</v>
      </c>
      <c r="B232" s="7">
        <v>9876</v>
      </c>
      <c r="C232" s="8">
        <v>44663</v>
      </c>
    </row>
    <row r="233" spans="1:3" ht="15" x14ac:dyDescent="0.25">
      <c r="A233" s="4" t="s">
        <v>1170</v>
      </c>
      <c r="B233" s="7">
        <v>2532</v>
      </c>
      <c r="C233" s="8">
        <v>44667</v>
      </c>
    </row>
    <row r="234" spans="1:3" ht="15" x14ac:dyDescent="0.25">
      <c r="A234" s="4" t="s">
        <v>1171</v>
      </c>
      <c r="B234" s="7">
        <v>3421</v>
      </c>
      <c r="C234" s="8">
        <v>44704</v>
      </c>
    </row>
    <row r="235" spans="1:3" ht="15" x14ac:dyDescent="0.25">
      <c r="A235" s="4" t="s">
        <v>1172</v>
      </c>
      <c r="B235" s="7">
        <v>2978</v>
      </c>
      <c r="C235" s="8">
        <v>44638</v>
      </c>
    </row>
    <row r="236" spans="1:3" ht="15" x14ac:dyDescent="0.25">
      <c r="A236" s="4" t="s">
        <v>1173</v>
      </c>
      <c r="B236" s="7">
        <v>3718</v>
      </c>
      <c r="C236" s="8">
        <v>44738</v>
      </c>
    </row>
    <row r="237" spans="1:3" ht="15" x14ac:dyDescent="0.25">
      <c r="A237" s="4" t="s">
        <v>1174</v>
      </c>
      <c r="B237" s="7">
        <v>7976</v>
      </c>
      <c r="C237" s="8">
        <v>44685</v>
      </c>
    </row>
    <row r="238" spans="1:3" ht="15" x14ac:dyDescent="0.25">
      <c r="A238" s="4" t="s">
        <v>1175</v>
      </c>
      <c r="B238" s="7">
        <v>5805</v>
      </c>
      <c r="C238" s="8">
        <v>44700</v>
      </c>
    </row>
    <row r="239" spans="1:3" ht="15" x14ac:dyDescent="0.25">
      <c r="A239" s="4" t="s">
        <v>1176</v>
      </c>
      <c r="B239" s="7">
        <v>3187</v>
      </c>
      <c r="C239" s="8">
        <v>44657</v>
      </c>
    </row>
    <row r="240" spans="1:3" ht="15" x14ac:dyDescent="0.25">
      <c r="A240" s="4" t="s">
        <v>1177</v>
      </c>
      <c r="B240" s="7">
        <v>8736</v>
      </c>
      <c r="C240" s="8">
        <v>44635</v>
      </c>
    </row>
    <row r="241" spans="1:3" ht="15" x14ac:dyDescent="0.25">
      <c r="A241" s="4" t="s">
        <v>1178</v>
      </c>
      <c r="B241" s="7">
        <v>7472</v>
      </c>
      <c r="C241" s="8">
        <v>44734</v>
      </c>
    </row>
    <row r="242" spans="1:3" ht="15" x14ac:dyDescent="0.25">
      <c r="A242" s="4" t="s">
        <v>1179</v>
      </c>
      <c r="B242" s="7">
        <v>3318</v>
      </c>
      <c r="C242" s="8">
        <v>44654</v>
      </c>
    </row>
    <row r="243" spans="1:3" ht="15" x14ac:dyDescent="0.25">
      <c r="A243" s="4" t="s">
        <v>1180</v>
      </c>
      <c r="B243" s="7">
        <v>2216</v>
      </c>
      <c r="C243" s="8">
        <v>44695</v>
      </c>
    </row>
    <row r="244" spans="1:3" ht="15" x14ac:dyDescent="0.25">
      <c r="A244" s="4" t="s">
        <v>1181</v>
      </c>
      <c r="B244" s="7">
        <v>4618</v>
      </c>
      <c r="C244" s="8">
        <v>44719</v>
      </c>
    </row>
    <row r="245" spans="1:3" ht="15" x14ac:dyDescent="0.25">
      <c r="A245" s="4" t="s">
        <v>1182</v>
      </c>
      <c r="B245" s="7">
        <v>1877</v>
      </c>
      <c r="C245" s="8">
        <v>44712</v>
      </c>
    </row>
    <row r="246" spans="1:3" ht="15" x14ac:dyDescent="0.25">
      <c r="A246" s="4" t="s">
        <v>1183</v>
      </c>
      <c r="B246" s="7">
        <v>4407</v>
      </c>
      <c r="C246" s="8">
        <v>44650</v>
      </c>
    </row>
    <row r="247" spans="1:3" ht="15" x14ac:dyDescent="0.25">
      <c r="A247" s="4" t="s">
        <v>1184</v>
      </c>
      <c r="B247" s="7">
        <v>8719</v>
      </c>
      <c r="C247" s="8">
        <v>44693</v>
      </c>
    </row>
    <row r="248" spans="1:3" ht="15" x14ac:dyDescent="0.25">
      <c r="A248" s="4" t="s">
        <v>1185</v>
      </c>
      <c r="B248" s="7">
        <v>5893</v>
      </c>
      <c r="C248" s="8">
        <v>44689</v>
      </c>
    </row>
    <row r="249" spans="1:3" ht="15" x14ac:dyDescent="0.25">
      <c r="A249" s="4" t="s">
        <v>1186</v>
      </c>
      <c r="B249" s="7">
        <v>1817</v>
      </c>
      <c r="C249" s="8">
        <v>44713</v>
      </c>
    </row>
    <row r="250" spans="1:3" ht="15" x14ac:dyDescent="0.25">
      <c r="A250" s="4" t="s">
        <v>1187</v>
      </c>
      <c r="B250" s="7">
        <v>7833</v>
      </c>
      <c r="C250" s="8">
        <v>44636</v>
      </c>
    </row>
    <row r="251" spans="1:3" ht="15" x14ac:dyDescent="0.25">
      <c r="A251" s="4" t="s">
        <v>1188</v>
      </c>
      <c r="B251" s="7">
        <v>5217</v>
      </c>
      <c r="C251" s="8">
        <v>44670</v>
      </c>
    </row>
    <row r="252" spans="1:3" ht="15" x14ac:dyDescent="0.25">
      <c r="A252" s="4" t="s">
        <v>1189</v>
      </c>
      <c r="B252" s="7">
        <v>7081</v>
      </c>
      <c r="C252" s="8">
        <v>44628</v>
      </c>
    </row>
    <row r="253" spans="1:3" ht="15" x14ac:dyDescent="0.25">
      <c r="A253" s="4" t="s">
        <v>1190</v>
      </c>
      <c r="B253" s="7">
        <v>3974</v>
      </c>
      <c r="C253" s="8">
        <v>44700</v>
      </c>
    </row>
    <row r="254" spans="1:3" ht="15" x14ac:dyDescent="0.25">
      <c r="A254" s="4" t="s">
        <v>1191</v>
      </c>
      <c r="B254" s="7">
        <v>5969</v>
      </c>
      <c r="C254" s="8">
        <v>44624</v>
      </c>
    </row>
    <row r="255" spans="1:3" ht="15" x14ac:dyDescent="0.25">
      <c r="A255" s="4" t="s">
        <v>1192</v>
      </c>
      <c r="B255" s="7">
        <v>7046</v>
      </c>
      <c r="C255" s="8">
        <v>44654</v>
      </c>
    </row>
    <row r="256" spans="1:3" ht="15" x14ac:dyDescent="0.25">
      <c r="A256" s="4" t="s">
        <v>1193</v>
      </c>
      <c r="B256" s="7">
        <v>2683</v>
      </c>
      <c r="C256" s="8">
        <v>44659</v>
      </c>
    </row>
    <row r="257" spans="1:3" ht="15" x14ac:dyDescent="0.25">
      <c r="A257" s="4" t="s">
        <v>1194</v>
      </c>
      <c r="B257" s="7">
        <v>8092</v>
      </c>
      <c r="C257" s="8">
        <v>44734</v>
      </c>
    </row>
    <row r="258" spans="1:3" ht="15" x14ac:dyDescent="0.25">
      <c r="A258" s="4" t="s">
        <v>1195</v>
      </c>
      <c r="B258" s="7">
        <v>5539</v>
      </c>
      <c r="C258" s="8">
        <v>44688</v>
      </c>
    </row>
    <row r="259" spans="1:3" ht="15" x14ac:dyDescent="0.25">
      <c r="A259" s="4" t="s">
        <v>1196</v>
      </c>
      <c r="B259" s="7">
        <v>5691</v>
      </c>
      <c r="C259" s="8">
        <v>44731</v>
      </c>
    </row>
    <row r="260" spans="1:3" ht="15" x14ac:dyDescent="0.25">
      <c r="A260" s="4" t="s">
        <v>1197</v>
      </c>
      <c r="B260" s="7">
        <v>4138</v>
      </c>
      <c r="C260" s="8">
        <v>44633</v>
      </c>
    </row>
    <row r="261" spans="1:3" ht="15" x14ac:dyDescent="0.25">
      <c r="A261" s="4" t="s">
        <v>1198</v>
      </c>
      <c r="B261" s="7">
        <v>4042</v>
      </c>
      <c r="C261" s="8">
        <v>44637</v>
      </c>
    </row>
    <row r="262" spans="1:3" ht="15" x14ac:dyDescent="0.25">
      <c r="A262" s="4" t="s">
        <v>1199</v>
      </c>
      <c r="B262" s="7">
        <v>7083</v>
      </c>
      <c r="C262" s="8">
        <v>44645</v>
      </c>
    </row>
    <row r="263" spans="1:3" ht="15" x14ac:dyDescent="0.25">
      <c r="A263" s="4" t="s">
        <v>1200</v>
      </c>
      <c r="B263" s="7">
        <v>6766</v>
      </c>
      <c r="C263" s="8">
        <v>44722</v>
      </c>
    </row>
    <row r="264" spans="1:3" ht="15" x14ac:dyDescent="0.25">
      <c r="A264" s="4" t="s">
        <v>1201</v>
      </c>
      <c r="B264" s="7">
        <v>1899</v>
      </c>
      <c r="C264" s="8">
        <v>44630</v>
      </c>
    </row>
    <row r="265" spans="1:3" ht="15" x14ac:dyDescent="0.25">
      <c r="A265" s="4" t="s">
        <v>1202</v>
      </c>
      <c r="B265" s="7">
        <v>7130</v>
      </c>
      <c r="C265" s="8">
        <v>44723</v>
      </c>
    </row>
    <row r="266" spans="1:3" ht="15" x14ac:dyDescent="0.25">
      <c r="A266" s="4" t="s">
        <v>1203</v>
      </c>
      <c r="B266" s="7">
        <v>3373</v>
      </c>
      <c r="C266" s="8">
        <v>44724</v>
      </c>
    </row>
    <row r="267" spans="1:3" ht="15" x14ac:dyDescent="0.25">
      <c r="A267" s="4" t="s">
        <v>1204</v>
      </c>
      <c r="B267" s="7">
        <v>3453</v>
      </c>
      <c r="C267" s="8">
        <v>44685</v>
      </c>
    </row>
    <row r="268" spans="1:3" ht="15" x14ac:dyDescent="0.25">
      <c r="A268" s="4" t="s">
        <v>1205</v>
      </c>
      <c r="B268" s="7">
        <v>1855</v>
      </c>
      <c r="C268" s="8">
        <v>44630</v>
      </c>
    </row>
    <row r="269" spans="1:3" ht="15" x14ac:dyDescent="0.25">
      <c r="A269" s="4" t="s">
        <v>1206</v>
      </c>
      <c r="B269" s="7">
        <v>8360</v>
      </c>
      <c r="C269" s="8">
        <v>44650</v>
      </c>
    </row>
    <row r="270" spans="1:3" ht="15" x14ac:dyDescent="0.25">
      <c r="A270" s="4" t="s">
        <v>1207</v>
      </c>
      <c r="B270" s="7">
        <v>8054</v>
      </c>
      <c r="C270" s="8">
        <v>44712</v>
      </c>
    </row>
    <row r="271" spans="1:3" ht="15" x14ac:dyDescent="0.25">
      <c r="A271" s="4" t="s">
        <v>1208</v>
      </c>
      <c r="B271" s="7">
        <v>3895</v>
      </c>
      <c r="C271" s="8">
        <v>44684</v>
      </c>
    </row>
    <row r="272" spans="1:3" ht="15" x14ac:dyDescent="0.25">
      <c r="A272" s="4" t="s">
        <v>1209</v>
      </c>
      <c r="B272" s="7">
        <v>7702</v>
      </c>
      <c r="C272" s="8">
        <v>44653</v>
      </c>
    </row>
    <row r="273" spans="1:3" ht="15" x14ac:dyDescent="0.25">
      <c r="A273" s="4" t="s">
        <v>1210</v>
      </c>
      <c r="B273" s="7">
        <v>2498</v>
      </c>
      <c r="C273" s="8">
        <v>44669</v>
      </c>
    </row>
    <row r="274" spans="1:3" ht="15" x14ac:dyDescent="0.25">
      <c r="A274" s="4" t="s">
        <v>1211</v>
      </c>
      <c r="B274" s="7">
        <v>4323</v>
      </c>
      <c r="C274" s="8">
        <v>44691</v>
      </c>
    </row>
    <row r="275" spans="1:3" ht="15" x14ac:dyDescent="0.25">
      <c r="A275" s="4" t="s">
        <v>1212</v>
      </c>
      <c r="B275" s="7">
        <v>7964</v>
      </c>
      <c r="C275" s="8">
        <v>44681</v>
      </c>
    </row>
    <row r="276" spans="1:3" ht="15" x14ac:dyDescent="0.25">
      <c r="A276" s="4" t="s">
        <v>1213</v>
      </c>
      <c r="B276" s="7">
        <v>5200</v>
      </c>
      <c r="C276" s="8">
        <v>44635</v>
      </c>
    </row>
    <row r="277" spans="1:3" ht="15" x14ac:dyDescent="0.25">
      <c r="A277" s="4" t="s">
        <v>1214</v>
      </c>
      <c r="B277" s="7">
        <v>1756</v>
      </c>
      <c r="C277" s="8">
        <v>44696</v>
      </c>
    </row>
    <row r="278" spans="1:3" ht="15" x14ac:dyDescent="0.25">
      <c r="A278" s="4" t="s">
        <v>1215</v>
      </c>
      <c r="B278" s="7">
        <v>5145</v>
      </c>
      <c r="C278" s="8">
        <v>44713</v>
      </c>
    </row>
    <row r="279" spans="1:3" ht="15" x14ac:dyDescent="0.25">
      <c r="A279" s="4" t="s">
        <v>1216</v>
      </c>
      <c r="B279" s="7">
        <v>1370</v>
      </c>
      <c r="C279" s="8">
        <v>44645</v>
      </c>
    </row>
    <row r="280" spans="1:3" ht="15" x14ac:dyDescent="0.25">
      <c r="A280" s="4" t="s">
        <v>1217</v>
      </c>
      <c r="B280" s="7">
        <v>6101</v>
      </c>
      <c r="C280" s="8">
        <v>44697</v>
      </c>
    </row>
    <row r="281" spans="1:3" ht="15" x14ac:dyDescent="0.25">
      <c r="A281" s="4" t="s">
        <v>1218</v>
      </c>
      <c r="B281" s="7">
        <v>6925</v>
      </c>
      <c r="C281" s="8">
        <v>44639</v>
      </c>
    </row>
    <row r="282" spans="1:3" ht="15" x14ac:dyDescent="0.25">
      <c r="A282" s="4" t="s">
        <v>1219</v>
      </c>
      <c r="B282" s="7">
        <v>5320</v>
      </c>
      <c r="C282" s="8">
        <v>44682</v>
      </c>
    </row>
    <row r="283" spans="1:3" ht="15" x14ac:dyDescent="0.25">
      <c r="A283" s="4" t="s">
        <v>1220</v>
      </c>
      <c r="B283" s="7">
        <v>1547</v>
      </c>
      <c r="C283" s="8">
        <v>44736</v>
      </c>
    </row>
    <row r="284" spans="1:3" ht="15" x14ac:dyDescent="0.25">
      <c r="A284" s="4" t="s">
        <v>1221</v>
      </c>
      <c r="B284" s="7">
        <v>8985</v>
      </c>
      <c r="C284" s="8">
        <v>44670</v>
      </c>
    </row>
    <row r="285" spans="1:3" ht="15" x14ac:dyDescent="0.25">
      <c r="A285" s="4" t="s">
        <v>1222</v>
      </c>
      <c r="B285" s="7">
        <v>8659</v>
      </c>
      <c r="C285" s="8">
        <v>44696</v>
      </c>
    </row>
    <row r="286" spans="1:3" ht="15" x14ac:dyDescent="0.25">
      <c r="A286" s="4" t="s">
        <v>1223</v>
      </c>
      <c r="B286" s="7">
        <v>2167</v>
      </c>
      <c r="C286" s="8">
        <v>44656</v>
      </c>
    </row>
    <row r="287" spans="1:3" ht="15" x14ac:dyDescent="0.25">
      <c r="A287" s="4" t="s">
        <v>1224</v>
      </c>
      <c r="B287" s="7">
        <v>6150</v>
      </c>
      <c r="C287" s="8">
        <v>44624</v>
      </c>
    </row>
    <row r="288" spans="1:3" ht="15" x14ac:dyDescent="0.25">
      <c r="A288" s="4" t="s">
        <v>1225</v>
      </c>
      <c r="B288" s="7">
        <v>9127</v>
      </c>
      <c r="C288" s="8">
        <v>44676</v>
      </c>
    </row>
    <row r="289" spans="1:3" ht="15" x14ac:dyDescent="0.25">
      <c r="A289" s="4" t="s">
        <v>1226</v>
      </c>
      <c r="B289" s="7">
        <v>5933</v>
      </c>
      <c r="C289" s="8">
        <v>44624</v>
      </c>
    </row>
    <row r="290" spans="1:3" ht="15" x14ac:dyDescent="0.25">
      <c r="A290" s="4" t="s">
        <v>1227</v>
      </c>
      <c r="B290" s="7">
        <v>3145</v>
      </c>
      <c r="C290" s="8">
        <v>44686</v>
      </c>
    </row>
    <row r="291" spans="1:3" ht="15" x14ac:dyDescent="0.25">
      <c r="A291" s="4" t="s">
        <v>1228</v>
      </c>
      <c r="B291" s="7">
        <v>9871</v>
      </c>
      <c r="C291" s="8">
        <v>44731</v>
      </c>
    </row>
    <row r="292" spans="1:3" ht="15" x14ac:dyDescent="0.25">
      <c r="A292" s="4" t="s">
        <v>1229</v>
      </c>
      <c r="B292" s="7">
        <v>8901</v>
      </c>
      <c r="C292" s="8">
        <v>44678</v>
      </c>
    </row>
    <row r="293" spans="1:3" ht="15" x14ac:dyDescent="0.25">
      <c r="A293" s="4" t="s">
        <v>1230</v>
      </c>
      <c r="B293" s="7">
        <v>2661</v>
      </c>
      <c r="C293" s="8">
        <v>44648</v>
      </c>
    </row>
    <row r="294" spans="1:3" ht="15" x14ac:dyDescent="0.25">
      <c r="A294" s="4" t="s">
        <v>1231</v>
      </c>
      <c r="B294" s="7">
        <v>8387</v>
      </c>
      <c r="C294" s="8">
        <v>44640</v>
      </c>
    </row>
    <row r="295" spans="1:3" ht="15" x14ac:dyDescent="0.25">
      <c r="A295" s="4" t="s">
        <v>1232</v>
      </c>
      <c r="B295" s="7">
        <v>6269</v>
      </c>
      <c r="C295" s="8">
        <v>44712</v>
      </c>
    </row>
    <row r="296" spans="1:3" ht="15" x14ac:dyDescent="0.25">
      <c r="A296" s="4" t="s">
        <v>1233</v>
      </c>
      <c r="B296" s="7">
        <v>2657</v>
      </c>
      <c r="C296" s="8">
        <v>44687</v>
      </c>
    </row>
    <row r="297" spans="1:3" ht="15" x14ac:dyDescent="0.25">
      <c r="A297" s="4" t="s">
        <v>1234</v>
      </c>
      <c r="B297" s="7">
        <v>5612</v>
      </c>
      <c r="C297" s="8">
        <v>44732</v>
      </c>
    </row>
    <row r="298" spans="1:3" ht="15" x14ac:dyDescent="0.25">
      <c r="A298" s="4" t="s">
        <v>1235</v>
      </c>
      <c r="B298" s="7">
        <v>7148</v>
      </c>
      <c r="C298" s="8">
        <v>44650</v>
      </c>
    </row>
    <row r="299" spans="1:3" ht="15" x14ac:dyDescent="0.25">
      <c r="A299" s="4" t="s">
        <v>1236</v>
      </c>
      <c r="B299" s="7">
        <v>1040</v>
      </c>
      <c r="C299" s="8">
        <v>44709</v>
      </c>
    </row>
    <row r="300" spans="1:3" ht="15" x14ac:dyDescent="0.25">
      <c r="A300" s="4" t="s">
        <v>1237</v>
      </c>
      <c r="B300" s="7">
        <v>7525</v>
      </c>
      <c r="C300" s="8">
        <v>44718</v>
      </c>
    </row>
    <row r="301" spans="1:3" ht="15" x14ac:dyDescent="0.25">
      <c r="A301" s="4" t="s">
        <v>1238</v>
      </c>
      <c r="B301" s="7">
        <v>9269</v>
      </c>
      <c r="C301" s="8">
        <v>44716</v>
      </c>
    </row>
    <row r="302" spans="1:3" ht="15" x14ac:dyDescent="0.25">
      <c r="A302" s="4" t="s">
        <v>1239</v>
      </c>
      <c r="B302" s="7">
        <v>4856</v>
      </c>
      <c r="C302" s="8">
        <v>44702</v>
      </c>
    </row>
    <row r="303" spans="1:3" ht="15" x14ac:dyDescent="0.25">
      <c r="A303" s="4" t="s">
        <v>1240</v>
      </c>
      <c r="B303" s="7">
        <v>7477</v>
      </c>
      <c r="C303" s="8">
        <v>44626</v>
      </c>
    </row>
    <row r="304" spans="1:3" ht="15" x14ac:dyDescent="0.25">
      <c r="A304" s="4" t="s">
        <v>1241</v>
      </c>
      <c r="B304" s="7">
        <v>7652</v>
      </c>
      <c r="C304" s="8">
        <v>44678</v>
      </c>
    </row>
    <row r="305" spans="1:3" ht="15" x14ac:dyDescent="0.25">
      <c r="A305" s="4" t="s">
        <v>1242</v>
      </c>
      <c r="B305" s="7">
        <v>2576</v>
      </c>
      <c r="C305" s="8">
        <v>44701</v>
      </c>
    </row>
    <row r="306" spans="1:3" ht="15" x14ac:dyDescent="0.25">
      <c r="A306" s="4" t="s">
        <v>1243</v>
      </c>
      <c r="B306" s="7">
        <v>4273</v>
      </c>
      <c r="C306" s="8">
        <v>44697</v>
      </c>
    </row>
    <row r="307" spans="1:3" ht="15" x14ac:dyDescent="0.25">
      <c r="A307" s="4" t="s">
        <v>1244</v>
      </c>
      <c r="B307" s="7">
        <v>5647</v>
      </c>
      <c r="C307" s="8">
        <v>44682</v>
      </c>
    </row>
    <row r="308" spans="1:3" ht="15" x14ac:dyDescent="0.25">
      <c r="A308" s="4" t="s">
        <v>1245</v>
      </c>
      <c r="B308" s="7">
        <v>8751</v>
      </c>
      <c r="C308" s="8">
        <v>44742</v>
      </c>
    </row>
    <row r="309" spans="1:3" ht="15" x14ac:dyDescent="0.25">
      <c r="A309" s="4" t="s">
        <v>1246</v>
      </c>
      <c r="B309" s="7">
        <v>9349</v>
      </c>
      <c r="C309" s="8">
        <v>44739</v>
      </c>
    </row>
    <row r="310" spans="1:3" ht="15" x14ac:dyDescent="0.25">
      <c r="A310" s="4" t="s">
        <v>1247</v>
      </c>
      <c r="B310" s="7">
        <v>7353</v>
      </c>
      <c r="C310" s="8">
        <v>44718</v>
      </c>
    </row>
    <row r="311" spans="1:3" ht="15" x14ac:dyDescent="0.25">
      <c r="A311" s="4" t="s">
        <v>1248</v>
      </c>
      <c r="B311" s="7">
        <v>2745</v>
      </c>
      <c r="C311" s="8">
        <v>44657</v>
      </c>
    </row>
    <row r="312" spans="1:3" ht="15" x14ac:dyDescent="0.25">
      <c r="A312" s="4" t="s">
        <v>1249</v>
      </c>
      <c r="B312" s="7">
        <v>7260</v>
      </c>
      <c r="C312" s="8">
        <v>44741</v>
      </c>
    </row>
    <row r="313" spans="1:3" ht="15" x14ac:dyDescent="0.25">
      <c r="A313" s="4" t="s">
        <v>1250</v>
      </c>
      <c r="B313" s="7">
        <v>6201</v>
      </c>
      <c r="C313" s="8">
        <v>44683</v>
      </c>
    </row>
    <row r="314" spans="1:3" ht="15" x14ac:dyDescent="0.25">
      <c r="A314" s="4" t="s">
        <v>1251</v>
      </c>
      <c r="B314" s="7">
        <v>2466</v>
      </c>
      <c r="C314" s="8">
        <v>44652</v>
      </c>
    </row>
    <row r="315" spans="1:3" ht="15" x14ac:dyDescent="0.25">
      <c r="A315" s="4" t="s">
        <v>1252</v>
      </c>
      <c r="B315" s="7">
        <v>4257</v>
      </c>
      <c r="C315" s="8">
        <v>44638</v>
      </c>
    </row>
    <row r="316" spans="1:3" ht="15" x14ac:dyDescent="0.25">
      <c r="A316" s="4" t="s">
        <v>1253</v>
      </c>
      <c r="B316" s="7">
        <v>4387</v>
      </c>
      <c r="C316" s="8">
        <v>44704</v>
      </c>
    </row>
    <row r="317" spans="1:3" ht="15" x14ac:dyDescent="0.25">
      <c r="A317" s="4" t="s">
        <v>1254</v>
      </c>
      <c r="B317" s="7">
        <v>1499</v>
      </c>
      <c r="C317" s="8">
        <v>44728</v>
      </c>
    </row>
    <row r="318" spans="1:3" ht="15" x14ac:dyDescent="0.25">
      <c r="A318" s="4" t="s">
        <v>1255</v>
      </c>
      <c r="B318" s="7">
        <v>4083</v>
      </c>
      <c r="C318" s="8">
        <v>44668</v>
      </c>
    </row>
    <row r="319" spans="1:3" ht="15" x14ac:dyDescent="0.25">
      <c r="A319" s="4" t="s">
        <v>1256</v>
      </c>
      <c r="B319" s="7">
        <v>3345</v>
      </c>
      <c r="C319" s="8">
        <v>44633</v>
      </c>
    </row>
    <row r="320" spans="1:3" ht="15" x14ac:dyDescent="0.25">
      <c r="A320" s="4" t="s">
        <v>1257</v>
      </c>
      <c r="B320" s="7">
        <v>4275</v>
      </c>
      <c r="C320" s="8">
        <v>44651</v>
      </c>
    </row>
    <row r="321" spans="1:3" ht="15" x14ac:dyDescent="0.25">
      <c r="A321" s="4" t="s">
        <v>1258</v>
      </c>
      <c r="B321" s="7">
        <v>1696</v>
      </c>
      <c r="C321" s="8">
        <v>44697</v>
      </c>
    </row>
    <row r="322" spans="1:3" ht="15" x14ac:dyDescent="0.25">
      <c r="A322" s="4" t="s">
        <v>1259</v>
      </c>
      <c r="B322" s="7">
        <v>7762</v>
      </c>
      <c r="C322" s="8">
        <v>44624</v>
      </c>
    </row>
    <row r="323" spans="1:3" ht="15" x14ac:dyDescent="0.25">
      <c r="A323" s="4" t="s">
        <v>1260</v>
      </c>
      <c r="B323" s="7">
        <v>7765</v>
      </c>
      <c r="C323" s="8">
        <v>44664</v>
      </c>
    </row>
    <row r="324" spans="1:3" ht="15" x14ac:dyDescent="0.25">
      <c r="A324" s="4" t="s">
        <v>1261</v>
      </c>
      <c r="B324" s="7">
        <v>7862</v>
      </c>
      <c r="C324" s="8">
        <v>44708</v>
      </c>
    </row>
    <row r="325" spans="1:3" ht="15" x14ac:dyDescent="0.25">
      <c r="A325" s="4" t="s">
        <v>1262</v>
      </c>
      <c r="B325" s="7">
        <v>9635</v>
      </c>
      <c r="C325" s="8">
        <v>44733</v>
      </c>
    </row>
    <row r="326" spans="1:3" ht="15" x14ac:dyDescent="0.25">
      <c r="A326" s="4" t="s">
        <v>1263</v>
      </c>
      <c r="B326" s="7">
        <v>2776</v>
      </c>
      <c r="C326" s="8">
        <v>44702</v>
      </c>
    </row>
    <row r="327" spans="1:3" ht="15" x14ac:dyDescent="0.25">
      <c r="A327" s="4" t="s">
        <v>1264</v>
      </c>
      <c r="B327" s="7">
        <v>8276</v>
      </c>
      <c r="C327" s="8">
        <v>44621</v>
      </c>
    </row>
    <row r="328" spans="1:3" ht="15" x14ac:dyDescent="0.25">
      <c r="A328" s="4" t="s">
        <v>1265</v>
      </c>
      <c r="B328" s="7">
        <v>2809</v>
      </c>
      <c r="C328" s="8">
        <v>44653</v>
      </c>
    </row>
    <row r="329" spans="1:3" ht="15" x14ac:dyDescent="0.25">
      <c r="A329" s="4" t="s">
        <v>1266</v>
      </c>
      <c r="B329" s="7">
        <v>3247</v>
      </c>
      <c r="C329" s="8">
        <v>44714</v>
      </c>
    </row>
    <row r="330" spans="1:3" ht="15" x14ac:dyDescent="0.25">
      <c r="A330" s="4" t="s">
        <v>1267</v>
      </c>
      <c r="B330" s="7">
        <v>2402</v>
      </c>
      <c r="C330" s="8">
        <v>44711</v>
      </c>
    </row>
    <row r="331" spans="1:3" ht="15" x14ac:dyDescent="0.25">
      <c r="A331" s="4" t="s">
        <v>1268</v>
      </c>
      <c r="B331" s="7">
        <v>6177</v>
      </c>
      <c r="C331" s="8">
        <v>44701</v>
      </c>
    </row>
    <row r="332" spans="1:3" ht="15" x14ac:dyDescent="0.25">
      <c r="A332" s="4" t="s">
        <v>1269</v>
      </c>
      <c r="B332" s="7">
        <v>5065</v>
      </c>
      <c r="C332" s="8">
        <v>44671</v>
      </c>
    </row>
    <row r="333" spans="1:3" ht="15" x14ac:dyDescent="0.25">
      <c r="A333" s="4" t="s">
        <v>1270</v>
      </c>
      <c r="B333" s="7">
        <v>9529</v>
      </c>
      <c r="C333" s="8">
        <v>44701</v>
      </c>
    </row>
    <row r="334" spans="1:3" ht="15" x14ac:dyDescent="0.25">
      <c r="A334" s="4" t="s">
        <v>1271</v>
      </c>
      <c r="B334" s="7">
        <v>6710</v>
      </c>
      <c r="C334" s="8">
        <v>44652</v>
      </c>
    </row>
    <row r="335" spans="1:3" ht="15" x14ac:dyDescent="0.25">
      <c r="A335" s="4" t="s">
        <v>1272</v>
      </c>
      <c r="B335" s="7">
        <v>2772</v>
      </c>
      <c r="C335" s="8">
        <v>44714</v>
      </c>
    </row>
    <row r="336" spans="1:3" ht="15" x14ac:dyDescent="0.25">
      <c r="A336" s="4" t="s">
        <v>1273</v>
      </c>
      <c r="B336" s="7">
        <v>6811</v>
      </c>
      <c r="C336" s="8">
        <v>44737</v>
      </c>
    </row>
    <row r="337" spans="1:3" ht="15" x14ac:dyDescent="0.25">
      <c r="A337" s="4" t="s">
        <v>1274</v>
      </c>
      <c r="B337" s="7">
        <v>6113</v>
      </c>
      <c r="C337" s="8">
        <v>44663</v>
      </c>
    </row>
    <row r="338" spans="1:3" ht="15" x14ac:dyDescent="0.25">
      <c r="A338" s="4" t="s">
        <v>1275</v>
      </c>
      <c r="B338" s="7">
        <v>9599</v>
      </c>
      <c r="C338" s="8">
        <v>44728</v>
      </c>
    </row>
    <row r="339" spans="1:3" ht="15" x14ac:dyDescent="0.25">
      <c r="A339" s="4" t="s">
        <v>1276</v>
      </c>
      <c r="B339" s="7">
        <v>4679</v>
      </c>
      <c r="C339" s="8">
        <v>44641</v>
      </c>
    </row>
    <row r="340" spans="1:3" ht="15" x14ac:dyDescent="0.25">
      <c r="A340" s="4" t="s">
        <v>1277</v>
      </c>
      <c r="B340" s="7">
        <v>3955</v>
      </c>
      <c r="C340" s="8">
        <v>44635</v>
      </c>
    </row>
    <row r="341" spans="1:3" ht="15" x14ac:dyDescent="0.25">
      <c r="A341" s="4" t="s">
        <v>1278</v>
      </c>
      <c r="B341" s="7">
        <v>9956</v>
      </c>
      <c r="C341" s="8">
        <v>44624</v>
      </c>
    </row>
    <row r="342" spans="1:3" ht="15" x14ac:dyDescent="0.25">
      <c r="A342" s="4" t="s">
        <v>1279</v>
      </c>
      <c r="B342" s="7">
        <v>6717</v>
      </c>
      <c r="C342" s="8">
        <v>44631</v>
      </c>
    </row>
    <row r="343" spans="1:3" ht="15" x14ac:dyDescent="0.25">
      <c r="A343" s="4" t="s">
        <v>1280</v>
      </c>
      <c r="B343" s="7">
        <v>7726</v>
      </c>
      <c r="C343" s="8">
        <v>44728</v>
      </c>
    </row>
    <row r="344" spans="1:3" ht="15" x14ac:dyDescent="0.25">
      <c r="A344" s="4" t="s">
        <v>1281</v>
      </c>
      <c r="B344" s="7">
        <v>4344</v>
      </c>
      <c r="C344" s="8">
        <v>44624</v>
      </c>
    </row>
    <row r="345" spans="1:3" ht="15" x14ac:dyDescent="0.25">
      <c r="A345" s="4" t="s">
        <v>1282</v>
      </c>
      <c r="B345" s="7">
        <v>9988</v>
      </c>
      <c r="C345" s="8">
        <v>44728</v>
      </c>
    </row>
    <row r="346" spans="1:3" ht="15" x14ac:dyDescent="0.25">
      <c r="A346" s="4" t="s">
        <v>1283</v>
      </c>
      <c r="B346" s="7">
        <v>7811</v>
      </c>
      <c r="C346" s="8">
        <v>44715</v>
      </c>
    </row>
    <row r="347" spans="1:3" ht="15" x14ac:dyDescent="0.25">
      <c r="A347" s="4" t="s">
        <v>1284</v>
      </c>
      <c r="B347" s="7">
        <v>6520</v>
      </c>
      <c r="C347" s="8">
        <v>44720</v>
      </c>
    </row>
    <row r="348" spans="1:3" ht="15" x14ac:dyDescent="0.25">
      <c r="A348" s="4" t="s">
        <v>1285</v>
      </c>
      <c r="B348" s="7">
        <v>6266</v>
      </c>
      <c r="C348" s="8">
        <v>44641</v>
      </c>
    </row>
    <row r="349" spans="1:3" ht="15" x14ac:dyDescent="0.25">
      <c r="A349" s="4" t="s">
        <v>1286</v>
      </c>
      <c r="B349" s="7">
        <v>9568</v>
      </c>
      <c r="C349" s="8">
        <v>44628</v>
      </c>
    </row>
    <row r="350" spans="1:3" ht="15" x14ac:dyDescent="0.25">
      <c r="A350" s="4" t="s">
        <v>1287</v>
      </c>
      <c r="B350" s="7">
        <v>3886</v>
      </c>
      <c r="C350" s="8">
        <v>44695</v>
      </c>
    </row>
    <row r="351" spans="1:3" ht="15" x14ac:dyDescent="0.25">
      <c r="A351" s="4" t="s">
        <v>1288</v>
      </c>
      <c r="B351" s="7">
        <v>2655</v>
      </c>
      <c r="C351" s="8">
        <v>44695</v>
      </c>
    </row>
    <row r="352" spans="1:3" ht="15" x14ac:dyDescent="0.25">
      <c r="A352" s="4" t="s">
        <v>1289</v>
      </c>
      <c r="B352" s="7">
        <v>8219</v>
      </c>
      <c r="C352" s="8">
        <v>44714</v>
      </c>
    </row>
    <row r="353" spans="1:3" ht="15" x14ac:dyDescent="0.25">
      <c r="A353" s="4" t="s">
        <v>1290</v>
      </c>
      <c r="B353" s="7">
        <v>8604</v>
      </c>
      <c r="C353" s="8">
        <v>44679</v>
      </c>
    </row>
    <row r="354" spans="1:3" ht="15" x14ac:dyDescent="0.25">
      <c r="A354" s="4" t="s">
        <v>1291</v>
      </c>
      <c r="B354" s="7">
        <v>7785</v>
      </c>
      <c r="C354" s="8">
        <v>44722</v>
      </c>
    </row>
    <row r="355" spans="1:3" ht="15" x14ac:dyDescent="0.25">
      <c r="A355" s="4" t="s">
        <v>1292</v>
      </c>
      <c r="B355" s="7">
        <v>7204</v>
      </c>
      <c r="C355" s="8">
        <v>44657</v>
      </c>
    </row>
    <row r="356" spans="1:3" ht="15" x14ac:dyDescent="0.25">
      <c r="A356" s="4" t="s">
        <v>1293</v>
      </c>
      <c r="B356" s="7">
        <v>1771</v>
      </c>
      <c r="C356" s="8">
        <v>44706</v>
      </c>
    </row>
    <row r="357" spans="1:3" ht="15" x14ac:dyDescent="0.25">
      <c r="A357" s="4" t="s">
        <v>1294</v>
      </c>
      <c r="B357" s="7">
        <v>3043</v>
      </c>
      <c r="C357" s="8">
        <v>44652</v>
      </c>
    </row>
    <row r="358" spans="1:3" ht="15" x14ac:dyDescent="0.25">
      <c r="A358" s="4" t="s">
        <v>1295</v>
      </c>
      <c r="B358" s="7">
        <v>9178</v>
      </c>
      <c r="C358" s="8">
        <v>44625</v>
      </c>
    </row>
    <row r="359" spans="1:3" ht="15" x14ac:dyDescent="0.25">
      <c r="A359" s="4" t="s">
        <v>1296</v>
      </c>
      <c r="B359" s="7">
        <v>5234</v>
      </c>
      <c r="C359" s="8">
        <v>44624</v>
      </c>
    </row>
    <row r="360" spans="1:3" ht="15" x14ac:dyDescent="0.25">
      <c r="A360" s="4" t="s">
        <v>1297</v>
      </c>
      <c r="B360" s="7">
        <v>3653</v>
      </c>
      <c r="C360" s="8">
        <v>44713</v>
      </c>
    </row>
    <row r="361" spans="1:3" ht="15" x14ac:dyDescent="0.25">
      <c r="A361" s="4" t="s">
        <v>1298</v>
      </c>
      <c r="B361" s="7">
        <v>5032</v>
      </c>
      <c r="C361" s="8">
        <v>44728</v>
      </c>
    </row>
    <row r="362" spans="1:3" ht="15" x14ac:dyDescent="0.25">
      <c r="A362" s="4" t="s">
        <v>1299</v>
      </c>
      <c r="B362" s="7">
        <v>8259</v>
      </c>
      <c r="C362" s="8">
        <v>44631</v>
      </c>
    </row>
    <row r="363" spans="1:3" ht="15" x14ac:dyDescent="0.25">
      <c r="A363" s="4" t="s">
        <v>1300</v>
      </c>
      <c r="B363" s="7">
        <v>7511</v>
      </c>
      <c r="C363" s="8">
        <v>44680</v>
      </c>
    </row>
    <row r="364" spans="1:3" ht="15" x14ac:dyDescent="0.25">
      <c r="A364" s="4" t="s">
        <v>1301</v>
      </c>
      <c r="B364" s="7">
        <v>4608</v>
      </c>
      <c r="C364" s="8">
        <v>44690</v>
      </c>
    </row>
    <row r="365" spans="1:3" ht="15" x14ac:dyDescent="0.25">
      <c r="A365" s="4" t="s">
        <v>1302</v>
      </c>
      <c r="B365" s="7">
        <v>2509</v>
      </c>
      <c r="C365" s="8">
        <v>44733</v>
      </c>
    </row>
    <row r="366" spans="1:3" ht="15" x14ac:dyDescent="0.25">
      <c r="A366" s="4" t="s">
        <v>1303</v>
      </c>
      <c r="B366" s="7">
        <v>4732</v>
      </c>
      <c r="C366" s="8">
        <v>44659</v>
      </c>
    </row>
    <row r="367" spans="1:3" ht="15" x14ac:dyDescent="0.25">
      <c r="A367" s="4" t="s">
        <v>1304</v>
      </c>
      <c r="B367" s="7">
        <v>1962</v>
      </c>
      <c r="C367" s="8">
        <v>44733</v>
      </c>
    </row>
    <row r="368" spans="1:3" ht="15" x14ac:dyDescent="0.25">
      <c r="A368" s="4" t="s">
        <v>1305</v>
      </c>
      <c r="B368" s="7">
        <v>7511</v>
      </c>
      <c r="C368" s="8">
        <v>44742</v>
      </c>
    </row>
    <row r="369" spans="1:3" ht="15" x14ac:dyDescent="0.25">
      <c r="A369" s="4" t="s">
        <v>1306</v>
      </c>
      <c r="B369" s="7">
        <v>8925</v>
      </c>
      <c r="C369" s="8">
        <v>44625</v>
      </c>
    </row>
    <row r="370" spans="1:3" ht="15" x14ac:dyDescent="0.25">
      <c r="A370" s="4" t="s">
        <v>1307</v>
      </c>
      <c r="B370" s="7">
        <v>4145</v>
      </c>
      <c r="C370" s="8">
        <v>44735</v>
      </c>
    </row>
    <row r="371" spans="1:3" ht="15" x14ac:dyDescent="0.25">
      <c r="A371" s="4" t="s">
        <v>1308</v>
      </c>
      <c r="B371" s="7">
        <v>5656</v>
      </c>
      <c r="C371" s="8">
        <v>44656</v>
      </c>
    </row>
    <row r="372" spans="1:3" ht="15" x14ac:dyDescent="0.25">
      <c r="A372" s="4" t="s">
        <v>1309</v>
      </c>
      <c r="B372" s="7">
        <v>4831</v>
      </c>
      <c r="C372" s="8">
        <v>44625</v>
      </c>
    </row>
    <row r="373" spans="1:3" ht="15" x14ac:dyDescent="0.25">
      <c r="A373" s="4" t="s">
        <v>1310</v>
      </c>
      <c r="B373" s="7">
        <v>9861</v>
      </c>
      <c r="C373" s="8">
        <v>44708</v>
      </c>
    </row>
    <row r="374" spans="1:3" ht="15" x14ac:dyDescent="0.25">
      <c r="A374" s="4" t="s">
        <v>1311</v>
      </c>
      <c r="B374" s="7">
        <v>6863</v>
      </c>
      <c r="C374" s="8">
        <v>44677</v>
      </c>
    </row>
    <row r="375" spans="1:3" ht="15" x14ac:dyDescent="0.25">
      <c r="A375" s="4" t="s">
        <v>1312</v>
      </c>
      <c r="B375" s="7">
        <v>7386</v>
      </c>
      <c r="C375" s="8">
        <v>44667</v>
      </c>
    </row>
    <row r="376" spans="1:3" ht="15" x14ac:dyDescent="0.25">
      <c r="A376" s="4" t="s">
        <v>1313</v>
      </c>
      <c r="B376" s="7">
        <v>7614</v>
      </c>
      <c r="C376" s="8">
        <v>44697</v>
      </c>
    </row>
    <row r="377" spans="1:3" ht="15" x14ac:dyDescent="0.25">
      <c r="A377" s="4" t="s">
        <v>1314</v>
      </c>
      <c r="B377" s="7">
        <v>2199</v>
      </c>
      <c r="C377" s="8">
        <v>44654</v>
      </c>
    </row>
    <row r="378" spans="1:3" ht="15" x14ac:dyDescent="0.25">
      <c r="A378" s="4" t="s">
        <v>1315</v>
      </c>
      <c r="B378" s="7">
        <v>5708</v>
      </c>
      <c r="C378" s="8">
        <v>44648</v>
      </c>
    </row>
    <row r="379" spans="1:3" ht="15" x14ac:dyDescent="0.25">
      <c r="A379" s="4" t="s">
        <v>1316</v>
      </c>
      <c r="B379" s="7">
        <v>7020</v>
      </c>
      <c r="C379" s="8">
        <v>44711</v>
      </c>
    </row>
    <row r="380" spans="1:3" ht="15" x14ac:dyDescent="0.25">
      <c r="A380" s="4" t="s">
        <v>1317</v>
      </c>
      <c r="B380" s="7">
        <v>2970</v>
      </c>
      <c r="C380" s="8">
        <v>44711</v>
      </c>
    </row>
    <row r="381" spans="1:3" ht="15" x14ac:dyDescent="0.25">
      <c r="A381" s="4" t="s">
        <v>1318</v>
      </c>
      <c r="B381" s="7">
        <v>3359</v>
      </c>
      <c r="C381" s="8">
        <v>44670</v>
      </c>
    </row>
    <row r="382" spans="1:3" ht="15" x14ac:dyDescent="0.25">
      <c r="A382" s="4" t="s">
        <v>1319</v>
      </c>
      <c r="B382" s="7">
        <v>7423</v>
      </c>
      <c r="C382" s="8">
        <v>44696</v>
      </c>
    </row>
    <row r="383" spans="1:3" ht="15" x14ac:dyDescent="0.25">
      <c r="A383" s="4" t="s">
        <v>1320</v>
      </c>
      <c r="B383" s="7">
        <v>9450</v>
      </c>
      <c r="C383" s="8">
        <v>44667</v>
      </c>
    </row>
    <row r="384" spans="1:3" ht="15" x14ac:dyDescent="0.25">
      <c r="A384" s="4" t="s">
        <v>1321</v>
      </c>
      <c r="B384" s="7">
        <v>8443</v>
      </c>
      <c r="C384" s="8">
        <v>44688</v>
      </c>
    </row>
    <row r="385" spans="1:3" ht="15" x14ac:dyDescent="0.25">
      <c r="A385" s="4" t="s">
        <v>1322</v>
      </c>
      <c r="B385" s="7">
        <v>5758</v>
      </c>
      <c r="C385" s="8">
        <v>44688</v>
      </c>
    </row>
    <row r="386" spans="1:3" ht="15" x14ac:dyDescent="0.25">
      <c r="A386" s="4" t="s">
        <v>1323</v>
      </c>
      <c r="B386" s="7">
        <v>7389</v>
      </c>
      <c r="C386" s="8">
        <v>44622</v>
      </c>
    </row>
    <row r="387" spans="1:3" ht="15" x14ac:dyDescent="0.25">
      <c r="A387" s="4" t="s">
        <v>1324</v>
      </c>
      <c r="B387" s="7">
        <v>4940</v>
      </c>
      <c r="C387" s="8">
        <v>44740</v>
      </c>
    </row>
    <row r="388" spans="1:3" ht="15" x14ac:dyDescent="0.25">
      <c r="A388" s="4" t="s">
        <v>1325</v>
      </c>
      <c r="B388" s="7">
        <v>8236</v>
      </c>
      <c r="C388" s="8">
        <v>44651</v>
      </c>
    </row>
    <row r="389" spans="1:3" ht="15" x14ac:dyDescent="0.25">
      <c r="A389" s="4" t="s">
        <v>1326</v>
      </c>
      <c r="B389" s="7">
        <v>6646</v>
      </c>
      <c r="C389" s="8">
        <v>44623</v>
      </c>
    </row>
    <row r="390" spans="1:3" ht="15" x14ac:dyDescent="0.25">
      <c r="A390" s="4" t="s">
        <v>1327</v>
      </c>
      <c r="B390" s="7">
        <v>1326</v>
      </c>
      <c r="C390" s="8">
        <v>44635</v>
      </c>
    </row>
    <row r="391" spans="1:3" ht="15" x14ac:dyDescent="0.25">
      <c r="A391" s="4" t="s">
        <v>1328</v>
      </c>
      <c r="B391" s="7">
        <v>7421</v>
      </c>
      <c r="C391" s="8">
        <v>44721</v>
      </c>
    </row>
    <row r="392" spans="1:3" ht="15" x14ac:dyDescent="0.25">
      <c r="A392" s="4" t="s">
        <v>1329</v>
      </c>
      <c r="B392" s="7">
        <v>6396</v>
      </c>
      <c r="C392" s="8">
        <v>44622</v>
      </c>
    </row>
    <row r="393" spans="1:3" ht="15" x14ac:dyDescent="0.25">
      <c r="A393" s="4" t="s">
        <v>1330</v>
      </c>
      <c r="B393" s="7">
        <v>1197</v>
      </c>
      <c r="C393" s="8">
        <v>44688</v>
      </c>
    </row>
    <row r="394" spans="1:3" ht="15" x14ac:dyDescent="0.25">
      <c r="A394" s="4" t="s">
        <v>1331</v>
      </c>
      <c r="B394" s="7">
        <v>8663</v>
      </c>
      <c r="C394" s="8">
        <v>44694</v>
      </c>
    </row>
    <row r="395" spans="1:3" ht="15" x14ac:dyDescent="0.25">
      <c r="A395" s="4" t="s">
        <v>1332</v>
      </c>
      <c r="B395" s="7">
        <v>4173</v>
      </c>
      <c r="C395" s="8">
        <v>44716</v>
      </c>
    </row>
    <row r="396" spans="1:3" ht="15" x14ac:dyDescent="0.25">
      <c r="A396" s="4" t="s">
        <v>1333</v>
      </c>
      <c r="B396" s="7">
        <v>7136</v>
      </c>
      <c r="C396" s="8">
        <v>44632</v>
      </c>
    </row>
    <row r="397" spans="1:3" ht="15" x14ac:dyDescent="0.25">
      <c r="A397" s="4" t="s">
        <v>1334</v>
      </c>
      <c r="B397" s="7">
        <v>3612</v>
      </c>
      <c r="C397" s="8">
        <v>44682</v>
      </c>
    </row>
    <row r="398" spans="1:3" ht="15" x14ac:dyDescent="0.25">
      <c r="A398" s="4" t="s">
        <v>1335</v>
      </c>
      <c r="B398" s="7">
        <v>3277</v>
      </c>
      <c r="C398" s="8">
        <v>44671</v>
      </c>
    </row>
    <row r="399" spans="1:3" ht="15" x14ac:dyDescent="0.25">
      <c r="A399" s="4" t="s">
        <v>1336</v>
      </c>
      <c r="B399" s="7">
        <v>9131</v>
      </c>
      <c r="C399" s="8">
        <v>44649</v>
      </c>
    </row>
    <row r="400" spans="1:3" ht="15" x14ac:dyDescent="0.25">
      <c r="A400" s="4" t="s">
        <v>1337</v>
      </c>
      <c r="B400" s="7">
        <v>6510</v>
      </c>
      <c r="C400" s="8">
        <v>44643</v>
      </c>
    </row>
    <row r="401" spans="1:3" ht="15" x14ac:dyDescent="0.25">
      <c r="A401" s="4" t="s">
        <v>1338</v>
      </c>
      <c r="B401" s="7">
        <v>4644</v>
      </c>
      <c r="C401" s="8">
        <v>44728</v>
      </c>
    </row>
    <row r="402" spans="1:3" ht="15" x14ac:dyDescent="0.25">
      <c r="A402" s="4" t="s">
        <v>1339</v>
      </c>
      <c r="B402" s="7">
        <v>1910</v>
      </c>
      <c r="C402" s="8">
        <v>44669</v>
      </c>
    </row>
    <row r="403" spans="1:3" ht="15" x14ac:dyDescent="0.25">
      <c r="A403" s="4" t="s">
        <v>1340</v>
      </c>
      <c r="B403" s="7">
        <v>9723</v>
      </c>
      <c r="C403" s="8">
        <v>44660</v>
      </c>
    </row>
    <row r="404" spans="1:3" ht="15" x14ac:dyDescent="0.25">
      <c r="A404" s="4" t="s">
        <v>1341</v>
      </c>
      <c r="B404" s="7">
        <v>8443</v>
      </c>
      <c r="C404" s="8">
        <v>44687</v>
      </c>
    </row>
    <row r="405" spans="1:3" ht="15" x14ac:dyDescent="0.25">
      <c r="A405" s="4" t="s">
        <v>1342</v>
      </c>
      <c r="B405" s="7">
        <v>4467</v>
      </c>
      <c r="C405" s="8">
        <v>44636</v>
      </c>
    </row>
    <row r="406" spans="1:3" ht="15" x14ac:dyDescent="0.25">
      <c r="A406" s="4" t="s">
        <v>1343</v>
      </c>
      <c r="B406" s="7">
        <v>1242</v>
      </c>
      <c r="C406" s="8">
        <v>44641</v>
      </c>
    </row>
    <row r="407" spans="1:3" ht="15" x14ac:dyDescent="0.25">
      <c r="A407" s="4" t="s">
        <v>1344</v>
      </c>
      <c r="B407" s="7">
        <v>5360</v>
      </c>
      <c r="C407" s="8">
        <v>44651</v>
      </c>
    </row>
    <row r="408" spans="1:3" ht="15" x14ac:dyDescent="0.25">
      <c r="A408" s="4" t="s">
        <v>1345</v>
      </c>
      <c r="B408" s="7">
        <v>3565</v>
      </c>
      <c r="C408" s="8">
        <v>44662</v>
      </c>
    </row>
    <row r="409" spans="1:3" ht="15" x14ac:dyDescent="0.25">
      <c r="A409" s="4" t="s">
        <v>1346</v>
      </c>
      <c r="B409" s="7">
        <v>7987</v>
      </c>
      <c r="C409" s="8">
        <v>44623</v>
      </c>
    </row>
    <row r="410" spans="1:3" ht="15" x14ac:dyDescent="0.25">
      <c r="A410" s="4" t="s">
        <v>1347</v>
      </c>
      <c r="B410" s="7">
        <v>7140</v>
      </c>
      <c r="C410" s="8">
        <v>44629</v>
      </c>
    </row>
    <row r="411" spans="1:3" ht="15" x14ac:dyDescent="0.25">
      <c r="A411" s="4" t="s">
        <v>1348</v>
      </c>
      <c r="B411" s="7">
        <v>6059</v>
      </c>
      <c r="C411" s="8">
        <v>44712</v>
      </c>
    </row>
    <row r="412" spans="1:3" ht="15" x14ac:dyDescent="0.25">
      <c r="A412" s="4" t="s">
        <v>1349</v>
      </c>
      <c r="B412" s="7">
        <v>4553</v>
      </c>
      <c r="C412" s="8">
        <v>44621</v>
      </c>
    </row>
    <row r="413" spans="1:3" ht="15" x14ac:dyDescent="0.25">
      <c r="A413" s="4" t="s">
        <v>1350</v>
      </c>
      <c r="B413" s="7">
        <v>5588</v>
      </c>
      <c r="C413" s="8">
        <v>44702</v>
      </c>
    </row>
    <row r="414" spans="1:3" ht="15" x14ac:dyDescent="0.25">
      <c r="A414" s="4" t="s">
        <v>1351</v>
      </c>
      <c r="B414" s="7">
        <v>8117</v>
      </c>
      <c r="C414" s="8">
        <v>44724</v>
      </c>
    </row>
    <row r="415" spans="1:3" ht="15" x14ac:dyDescent="0.25">
      <c r="A415" s="4" t="s">
        <v>1352</v>
      </c>
      <c r="B415" s="7">
        <v>1856</v>
      </c>
      <c r="C415" s="8">
        <v>44736</v>
      </c>
    </row>
    <row r="416" spans="1:3" ht="15" x14ac:dyDescent="0.25">
      <c r="A416" s="4" t="s">
        <v>1353</v>
      </c>
      <c r="B416" s="7">
        <v>2793</v>
      </c>
      <c r="C416" s="8">
        <v>44739</v>
      </c>
    </row>
    <row r="417" spans="1:3" ht="15" x14ac:dyDescent="0.25">
      <c r="A417" s="4" t="s">
        <v>1354</v>
      </c>
      <c r="B417" s="7">
        <v>2668</v>
      </c>
      <c r="C417" s="8">
        <v>44631</v>
      </c>
    </row>
    <row r="418" spans="1:3" ht="15" x14ac:dyDescent="0.25">
      <c r="A418" s="4" t="s">
        <v>1355</v>
      </c>
      <c r="B418" s="7">
        <v>7083</v>
      </c>
      <c r="C418" s="8">
        <v>44733</v>
      </c>
    </row>
    <row r="419" spans="1:3" ht="15" x14ac:dyDescent="0.25">
      <c r="A419" s="4" t="s">
        <v>1356</v>
      </c>
      <c r="B419" s="7">
        <v>3309</v>
      </c>
      <c r="C419" s="8">
        <v>44739</v>
      </c>
    </row>
    <row r="420" spans="1:3" ht="15" x14ac:dyDescent="0.25">
      <c r="A420" s="4" t="s">
        <v>1357</v>
      </c>
      <c r="B420" s="7">
        <v>3598</v>
      </c>
      <c r="C420" s="8">
        <v>44689</v>
      </c>
    </row>
    <row r="421" spans="1:3" ht="15" x14ac:dyDescent="0.25">
      <c r="A421" s="4" t="s">
        <v>1358</v>
      </c>
      <c r="B421" s="7">
        <v>4615</v>
      </c>
      <c r="C421" s="8">
        <v>44674</v>
      </c>
    </row>
    <row r="422" spans="1:3" ht="15" x14ac:dyDescent="0.25">
      <c r="A422" s="4" t="s">
        <v>1359</v>
      </c>
      <c r="B422" s="7">
        <v>7472</v>
      </c>
      <c r="C422" s="8">
        <v>44700</v>
      </c>
    </row>
    <row r="423" spans="1:3" ht="15" x14ac:dyDescent="0.25">
      <c r="A423" s="4" t="s">
        <v>1360</v>
      </c>
      <c r="B423" s="7">
        <v>4337</v>
      </c>
      <c r="C423" s="8">
        <v>44642</v>
      </c>
    </row>
    <row r="424" spans="1:3" ht="15" x14ac:dyDescent="0.25">
      <c r="A424" s="4" t="s">
        <v>1361</v>
      </c>
      <c r="B424" s="7">
        <v>7642</v>
      </c>
      <c r="C424" s="8">
        <v>44703</v>
      </c>
    </row>
    <row r="425" spans="1:3" ht="15" x14ac:dyDescent="0.25">
      <c r="A425" s="4" t="s">
        <v>1362</v>
      </c>
      <c r="B425" s="7">
        <v>7611</v>
      </c>
      <c r="C425" s="8">
        <v>44678</v>
      </c>
    </row>
    <row r="426" spans="1:3" ht="15" x14ac:dyDescent="0.25">
      <c r="A426" s="4" t="s">
        <v>1363</v>
      </c>
      <c r="B426" s="7">
        <v>3686</v>
      </c>
      <c r="C426" s="8">
        <v>44668</v>
      </c>
    </row>
    <row r="427" spans="1:3" ht="15" x14ac:dyDescent="0.25">
      <c r="A427" s="4" t="s">
        <v>1364</v>
      </c>
      <c r="B427" s="7">
        <v>3111</v>
      </c>
      <c r="C427" s="8">
        <v>44679</v>
      </c>
    </row>
    <row r="428" spans="1:3" ht="15" x14ac:dyDescent="0.25">
      <c r="A428" s="4" t="s">
        <v>1365</v>
      </c>
      <c r="B428" s="7">
        <v>3492</v>
      </c>
      <c r="C428" s="8">
        <v>44723</v>
      </c>
    </row>
    <row r="429" spans="1:3" ht="15" x14ac:dyDescent="0.25">
      <c r="A429" s="4" t="s">
        <v>1366</v>
      </c>
      <c r="B429" s="7">
        <v>3692</v>
      </c>
      <c r="C429" s="8">
        <v>44648</v>
      </c>
    </row>
    <row r="430" spans="1:3" ht="15" x14ac:dyDescent="0.25">
      <c r="A430" s="4" t="s">
        <v>1367</v>
      </c>
      <c r="B430" s="7">
        <v>3522</v>
      </c>
      <c r="C430" s="8">
        <v>44681</v>
      </c>
    </row>
    <row r="431" spans="1:3" ht="15" x14ac:dyDescent="0.25">
      <c r="A431" s="4" t="s">
        <v>1368</v>
      </c>
      <c r="B431" s="7">
        <v>8172</v>
      </c>
      <c r="C431" s="8">
        <v>44672</v>
      </c>
    </row>
    <row r="432" spans="1:3" ht="15" x14ac:dyDescent="0.25">
      <c r="A432" s="4" t="s">
        <v>1369</v>
      </c>
      <c r="B432" s="7">
        <v>9999</v>
      </c>
      <c r="C432" s="8">
        <v>44631</v>
      </c>
    </row>
    <row r="433" spans="1:3" ht="15" x14ac:dyDescent="0.25">
      <c r="A433" s="4" t="s">
        <v>1370</v>
      </c>
      <c r="B433" s="7">
        <v>9785</v>
      </c>
      <c r="C433" s="8">
        <v>44662</v>
      </c>
    </row>
    <row r="434" spans="1:3" ht="15" x14ac:dyDescent="0.25">
      <c r="A434" s="4" t="s">
        <v>1371</v>
      </c>
      <c r="B434" s="7">
        <v>5189</v>
      </c>
      <c r="C434" s="8">
        <v>44635</v>
      </c>
    </row>
    <row r="435" spans="1:3" ht="15" x14ac:dyDescent="0.25">
      <c r="A435" s="4" t="s">
        <v>1372</v>
      </c>
      <c r="B435" s="7">
        <v>1876</v>
      </c>
      <c r="C435" s="8">
        <v>44680</v>
      </c>
    </row>
    <row r="436" spans="1:3" ht="15" x14ac:dyDescent="0.25">
      <c r="A436" s="4" t="s">
        <v>1373</v>
      </c>
      <c r="B436" s="7">
        <v>1650</v>
      </c>
      <c r="C436" s="8">
        <v>44711</v>
      </c>
    </row>
    <row r="437" spans="1:3" ht="15" x14ac:dyDescent="0.25">
      <c r="A437" s="4" t="s">
        <v>1374</v>
      </c>
      <c r="B437" s="7">
        <v>2669</v>
      </c>
      <c r="C437" s="8">
        <v>44651</v>
      </c>
    </row>
    <row r="438" spans="1:3" ht="15" x14ac:dyDescent="0.25">
      <c r="A438" s="4" t="s">
        <v>1375</v>
      </c>
      <c r="B438" s="7">
        <v>2802</v>
      </c>
      <c r="C438" s="8">
        <v>44636</v>
      </c>
    </row>
    <row r="439" spans="1:3" ht="15" x14ac:dyDescent="0.25">
      <c r="A439" s="4" t="s">
        <v>1376</v>
      </c>
      <c r="B439" s="7">
        <v>7826</v>
      </c>
      <c r="C439" s="8">
        <v>44720</v>
      </c>
    </row>
    <row r="440" spans="1:3" ht="15" x14ac:dyDescent="0.25">
      <c r="A440" s="4" t="s">
        <v>1377</v>
      </c>
      <c r="B440" s="7">
        <v>6764</v>
      </c>
      <c r="C440" s="8">
        <v>44698</v>
      </c>
    </row>
    <row r="441" spans="1:3" ht="15" x14ac:dyDescent="0.25">
      <c r="A441" s="4" t="s">
        <v>1378</v>
      </c>
      <c r="B441" s="7">
        <v>4745</v>
      </c>
      <c r="C441" s="8">
        <v>44677</v>
      </c>
    </row>
    <row r="442" spans="1:3" ht="15" x14ac:dyDescent="0.25">
      <c r="A442" s="4" t="s">
        <v>1379</v>
      </c>
      <c r="B442" s="7">
        <v>2055</v>
      </c>
      <c r="C442" s="8">
        <v>44645</v>
      </c>
    </row>
    <row r="443" spans="1:3" ht="15" x14ac:dyDescent="0.25">
      <c r="A443" s="4" t="s">
        <v>1380</v>
      </c>
      <c r="B443" s="7">
        <v>9739</v>
      </c>
      <c r="C443" s="8">
        <v>44628</v>
      </c>
    </row>
    <row r="444" spans="1:3" ht="15" x14ac:dyDescent="0.25">
      <c r="A444" s="4" t="s">
        <v>1381</v>
      </c>
      <c r="B444" s="7">
        <v>2991</v>
      </c>
      <c r="C444" s="8">
        <v>44679</v>
      </c>
    </row>
    <row r="445" spans="1:3" ht="15" x14ac:dyDescent="0.25">
      <c r="A445" s="4" t="s">
        <v>1382</v>
      </c>
      <c r="B445" s="7">
        <v>7819</v>
      </c>
      <c r="C445" s="8">
        <v>44737</v>
      </c>
    </row>
    <row r="446" spans="1:3" ht="15" x14ac:dyDescent="0.25">
      <c r="A446" s="4" t="s">
        <v>1383</v>
      </c>
      <c r="B446" s="7">
        <v>9784</v>
      </c>
      <c r="C446" s="8">
        <v>44686</v>
      </c>
    </row>
    <row r="447" spans="1:3" ht="15" x14ac:dyDescent="0.25">
      <c r="A447" s="4" t="s">
        <v>1384</v>
      </c>
      <c r="B447" s="7">
        <v>8753</v>
      </c>
      <c r="C447" s="8">
        <v>44726</v>
      </c>
    </row>
    <row r="448" spans="1:3" ht="15" x14ac:dyDescent="0.25">
      <c r="A448" s="4" t="s">
        <v>1385</v>
      </c>
      <c r="B448" s="7">
        <v>6997</v>
      </c>
      <c r="C448" s="8">
        <v>44671</v>
      </c>
    </row>
    <row r="449" spans="1:3" ht="15" x14ac:dyDescent="0.25">
      <c r="A449" s="4" t="s">
        <v>1386</v>
      </c>
      <c r="B449" s="7">
        <v>6807</v>
      </c>
      <c r="C449" s="8">
        <v>44679</v>
      </c>
    </row>
    <row r="450" spans="1:3" ht="15" x14ac:dyDescent="0.25">
      <c r="A450" s="4" t="s">
        <v>1387</v>
      </c>
      <c r="B450" s="7">
        <v>8605</v>
      </c>
      <c r="C450" s="8">
        <v>44742</v>
      </c>
    </row>
    <row r="451" spans="1:3" ht="15" x14ac:dyDescent="0.25">
      <c r="A451" s="4" t="s">
        <v>1388</v>
      </c>
      <c r="B451" s="7">
        <v>3212</v>
      </c>
      <c r="C451" s="8">
        <v>44697</v>
      </c>
    </row>
    <row r="452" spans="1:3" ht="15" x14ac:dyDescent="0.25">
      <c r="A452" s="4" t="s">
        <v>1389</v>
      </c>
      <c r="B452" s="7">
        <v>6738</v>
      </c>
      <c r="C452" s="8">
        <v>44669</v>
      </c>
    </row>
    <row r="453" spans="1:3" ht="15" x14ac:dyDescent="0.25">
      <c r="A453" s="4" t="s">
        <v>1390</v>
      </c>
      <c r="B453" s="7">
        <v>2862</v>
      </c>
      <c r="C453" s="8">
        <v>44732</v>
      </c>
    </row>
    <row r="454" spans="1:3" ht="15" x14ac:dyDescent="0.25">
      <c r="A454" s="4" t="s">
        <v>1391</v>
      </c>
      <c r="B454" s="7">
        <v>2920</v>
      </c>
      <c r="C454" s="8">
        <v>44672</v>
      </c>
    </row>
    <row r="455" spans="1:3" ht="15" x14ac:dyDescent="0.25">
      <c r="A455" s="4" t="s">
        <v>1392</v>
      </c>
      <c r="B455" s="7">
        <v>9695</v>
      </c>
      <c r="C455" s="8">
        <v>44743</v>
      </c>
    </row>
    <row r="456" spans="1:3" ht="15" x14ac:dyDescent="0.25">
      <c r="A456" s="4" t="s">
        <v>1393</v>
      </c>
      <c r="B456" s="7">
        <v>6585</v>
      </c>
      <c r="C456" s="8">
        <v>44704</v>
      </c>
    </row>
    <row r="457" spans="1:3" ht="15" x14ac:dyDescent="0.25">
      <c r="A457" s="4" t="s">
        <v>1394</v>
      </c>
      <c r="B457" s="7">
        <v>4703</v>
      </c>
      <c r="C457" s="8">
        <v>44665</v>
      </c>
    </row>
    <row r="458" spans="1:3" ht="15" x14ac:dyDescent="0.25">
      <c r="A458" s="4" t="s">
        <v>1395</v>
      </c>
      <c r="B458" s="7">
        <v>3519</v>
      </c>
      <c r="C458" s="8">
        <v>44733</v>
      </c>
    </row>
    <row r="459" spans="1:3" ht="15" x14ac:dyDescent="0.25">
      <c r="A459" s="4" t="s">
        <v>1396</v>
      </c>
      <c r="B459" s="7">
        <v>5484</v>
      </c>
      <c r="C459" s="8">
        <v>44675</v>
      </c>
    </row>
    <row r="460" spans="1:3" ht="15" x14ac:dyDescent="0.25">
      <c r="A460" s="4" t="s">
        <v>1397</v>
      </c>
      <c r="B460" s="7">
        <v>1710</v>
      </c>
      <c r="C460" s="8">
        <v>44641</v>
      </c>
    </row>
    <row r="461" spans="1:3" ht="15" x14ac:dyDescent="0.25">
      <c r="A461" s="4" t="s">
        <v>1398</v>
      </c>
      <c r="B461" s="7">
        <v>3846</v>
      </c>
      <c r="C461" s="8">
        <v>44687</v>
      </c>
    </row>
    <row r="462" spans="1:3" ht="15" x14ac:dyDescent="0.25">
      <c r="A462" s="4" t="s">
        <v>1399</v>
      </c>
      <c r="B462" s="7">
        <v>3013</v>
      </c>
      <c r="C462" s="8">
        <v>44675</v>
      </c>
    </row>
    <row r="463" spans="1:3" ht="15" x14ac:dyDescent="0.25">
      <c r="A463" s="4" t="s">
        <v>1400</v>
      </c>
      <c r="B463" s="7">
        <v>9709</v>
      </c>
      <c r="C463" s="8">
        <v>44740</v>
      </c>
    </row>
    <row r="464" spans="1:3" ht="15" x14ac:dyDescent="0.25">
      <c r="A464" s="4" t="s">
        <v>1401</v>
      </c>
      <c r="B464" s="7">
        <v>3893</v>
      </c>
      <c r="C464" s="8">
        <v>44714</v>
      </c>
    </row>
    <row r="465" spans="1:3" ht="15" x14ac:dyDescent="0.25">
      <c r="A465" s="4" t="s">
        <v>1402</v>
      </c>
      <c r="B465" s="7">
        <v>4689</v>
      </c>
      <c r="C465" s="8">
        <v>44622</v>
      </c>
    </row>
    <row r="466" spans="1:3" ht="15" x14ac:dyDescent="0.25">
      <c r="A466" s="4" t="s">
        <v>1403</v>
      </c>
      <c r="B466" s="7">
        <v>6616</v>
      </c>
      <c r="C466" s="8">
        <v>44633</v>
      </c>
    </row>
    <row r="467" spans="1:3" ht="15" x14ac:dyDescent="0.25">
      <c r="A467" s="4" t="s">
        <v>1404</v>
      </c>
      <c r="B467" s="7">
        <v>1142</v>
      </c>
      <c r="C467" s="8">
        <v>44665</v>
      </c>
    </row>
    <row r="468" spans="1:3" ht="15" x14ac:dyDescent="0.25">
      <c r="A468" s="4" t="s">
        <v>1405</v>
      </c>
      <c r="B468" s="7">
        <v>9824</v>
      </c>
      <c r="C468" s="8">
        <v>44743</v>
      </c>
    </row>
    <row r="469" spans="1:3" ht="15" x14ac:dyDescent="0.25">
      <c r="A469" s="4" t="s">
        <v>1406</v>
      </c>
      <c r="B469" s="7">
        <v>5926</v>
      </c>
      <c r="C469" s="8">
        <v>44697</v>
      </c>
    </row>
    <row r="470" spans="1:3" ht="15" x14ac:dyDescent="0.25">
      <c r="A470" s="4" t="s">
        <v>1407</v>
      </c>
      <c r="B470" s="7">
        <v>1271</v>
      </c>
      <c r="C470" s="8">
        <v>44647</v>
      </c>
    </row>
    <row r="471" spans="1:3" ht="15" x14ac:dyDescent="0.25">
      <c r="A471" s="4" t="s">
        <v>1408</v>
      </c>
      <c r="B471" s="7">
        <v>7787</v>
      </c>
      <c r="C471" s="8">
        <v>44636</v>
      </c>
    </row>
    <row r="472" spans="1:3" ht="15" x14ac:dyDescent="0.25">
      <c r="A472" s="4" t="s">
        <v>1409</v>
      </c>
      <c r="B472" s="7">
        <v>2858</v>
      </c>
      <c r="C472" s="8">
        <v>44675</v>
      </c>
    </row>
    <row r="473" spans="1:3" ht="15" x14ac:dyDescent="0.25">
      <c r="A473" s="4" t="s">
        <v>1410</v>
      </c>
      <c r="B473" s="7">
        <v>1167</v>
      </c>
      <c r="C473" s="8">
        <v>44654</v>
      </c>
    </row>
    <row r="474" spans="1:3" ht="15" x14ac:dyDescent="0.25">
      <c r="A474" s="4" t="s">
        <v>1411</v>
      </c>
      <c r="B474" s="7">
        <v>3062</v>
      </c>
      <c r="C474" s="8">
        <v>44717</v>
      </c>
    </row>
    <row r="475" spans="1:3" ht="15" x14ac:dyDescent="0.25">
      <c r="A475" s="4" t="s">
        <v>1412</v>
      </c>
      <c r="B475" s="7">
        <v>7187</v>
      </c>
      <c r="C475" s="8">
        <v>44707</v>
      </c>
    </row>
    <row r="476" spans="1:3" ht="15" x14ac:dyDescent="0.25">
      <c r="A476" s="4" t="s">
        <v>1413</v>
      </c>
      <c r="B476" s="7">
        <v>1963</v>
      </c>
      <c r="C476" s="8">
        <v>44674</v>
      </c>
    </row>
    <row r="477" spans="1:3" ht="15" x14ac:dyDescent="0.25">
      <c r="A477" s="4" t="s">
        <v>1414</v>
      </c>
      <c r="B477" s="7">
        <v>2949</v>
      </c>
      <c r="C477" s="8">
        <v>44639</v>
      </c>
    </row>
    <row r="478" spans="1:3" ht="15" x14ac:dyDescent="0.25">
      <c r="A478" s="4" t="s">
        <v>1415</v>
      </c>
      <c r="B478" s="7">
        <v>2509</v>
      </c>
      <c r="C478" s="8">
        <v>44729</v>
      </c>
    </row>
    <row r="479" spans="1:3" ht="15" x14ac:dyDescent="0.25">
      <c r="A479" s="4" t="s">
        <v>1416</v>
      </c>
      <c r="B479" s="7">
        <v>2183</v>
      </c>
      <c r="C479" s="8">
        <v>44723</v>
      </c>
    </row>
    <row r="480" spans="1:3" ht="15" x14ac:dyDescent="0.25">
      <c r="A480" s="4" t="s">
        <v>1417</v>
      </c>
      <c r="B480" s="7">
        <v>5451</v>
      </c>
      <c r="C480" s="8">
        <v>44656</v>
      </c>
    </row>
    <row r="481" spans="1:3" ht="15" x14ac:dyDescent="0.25">
      <c r="A481" s="4" t="s">
        <v>1418</v>
      </c>
      <c r="B481" s="7">
        <v>2462</v>
      </c>
      <c r="C481" s="8">
        <v>44722</v>
      </c>
    </row>
    <row r="482" spans="1:3" ht="15" x14ac:dyDescent="0.25">
      <c r="A482" s="4" t="s">
        <v>1419</v>
      </c>
      <c r="B482" s="7">
        <v>4177</v>
      </c>
      <c r="C482" s="8">
        <v>44714</v>
      </c>
    </row>
    <row r="483" spans="1:3" ht="15" x14ac:dyDescent="0.25">
      <c r="A483" s="4" t="s">
        <v>1420</v>
      </c>
      <c r="B483" s="7">
        <v>7556</v>
      </c>
      <c r="C483" s="8">
        <v>44722</v>
      </c>
    </row>
    <row r="484" spans="1:3" ht="15" x14ac:dyDescent="0.25">
      <c r="A484" s="4" t="s">
        <v>1421</v>
      </c>
      <c r="B484" s="7">
        <v>9274</v>
      </c>
      <c r="C484" s="8">
        <v>44730</v>
      </c>
    </row>
    <row r="485" spans="1:3" ht="15" x14ac:dyDescent="0.25">
      <c r="A485" s="4" t="s">
        <v>1422</v>
      </c>
      <c r="B485" s="7">
        <v>4186</v>
      </c>
      <c r="C485" s="8">
        <v>44695</v>
      </c>
    </row>
    <row r="486" spans="1:3" ht="15" x14ac:dyDescent="0.25">
      <c r="A486" s="4" t="s">
        <v>1423</v>
      </c>
      <c r="B486" s="7">
        <v>2227</v>
      </c>
      <c r="C486" s="8">
        <v>44664</v>
      </c>
    </row>
    <row r="487" spans="1:3" ht="15" x14ac:dyDescent="0.25">
      <c r="A487" s="4" t="s">
        <v>1424</v>
      </c>
      <c r="B487" s="7">
        <v>7776</v>
      </c>
      <c r="C487" s="8">
        <v>44706</v>
      </c>
    </row>
    <row r="488" spans="1:3" ht="15" x14ac:dyDescent="0.25">
      <c r="A488" s="4" t="s">
        <v>1425</v>
      </c>
      <c r="B488" s="7">
        <v>5151</v>
      </c>
      <c r="C488" s="8">
        <v>44669</v>
      </c>
    </row>
    <row r="489" spans="1:3" ht="15" x14ac:dyDescent="0.25">
      <c r="A489" s="4" t="s">
        <v>1426</v>
      </c>
      <c r="B489" s="7">
        <v>2310</v>
      </c>
      <c r="C489" s="8">
        <v>44665</v>
      </c>
    </row>
    <row r="490" spans="1:3" ht="15" x14ac:dyDescent="0.25">
      <c r="A490" s="4" t="s">
        <v>1427</v>
      </c>
      <c r="B490" s="7">
        <v>3122</v>
      </c>
      <c r="C490" s="8">
        <v>44646</v>
      </c>
    </row>
    <row r="491" spans="1:3" ht="15" x14ac:dyDescent="0.25">
      <c r="A491" s="4" t="s">
        <v>1428</v>
      </c>
      <c r="B491" s="7">
        <v>9735</v>
      </c>
      <c r="C491" s="8">
        <v>44626</v>
      </c>
    </row>
    <row r="492" spans="1:3" ht="15" x14ac:dyDescent="0.25">
      <c r="A492" s="4" t="s">
        <v>1429</v>
      </c>
      <c r="B492" s="7">
        <v>1947</v>
      </c>
      <c r="C492" s="8">
        <v>44713</v>
      </c>
    </row>
    <row r="493" spans="1:3" ht="15" x14ac:dyDescent="0.25">
      <c r="A493" s="4" t="s">
        <v>1430</v>
      </c>
      <c r="B493" s="7">
        <v>7990</v>
      </c>
      <c r="C493" s="8">
        <v>44685</v>
      </c>
    </row>
    <row r="494" spans="1:3" ht="15" x14ac:dyDescent="0.25">
      <c r="A494" s="4" t="s">
        <v>1431</v>
      </c>
      <c r="B494" s="7">
        <v>3667</v>
      </c>
      <c r="C494" s="8">
        <v>44653</v>
      </c>
    </row>
    <row r="495" spans="1:3" ht="15" x14ac:dyDescent="0.25">
      <c r="A495" s="4" t="s">
        <v>1432</v>
      </c>
      <c r="B495" s="7">
        <v>2482</v>
      </c>
      <c r="C495" s="8">
        <v>44624</v>
      </c>
    </row>
    <row r="496" spans="1:3" ht="15" x14ac:dyDescent="0.25">
      <c r="A496" s="4" t="s">
        <v>1433</v>
      </c>
      <c r="B496" s="7">
        <v>1103</v>
      </c>
      <c r="C496" s="8">
        <v>44670</v>
      </c>
    </row>
    <row r="497" spans="1:3" ht="15" x14ac:dyDescent="0.25">
      <c r="A497" s="4" t="s">
        <v>1434</v>
      </c>
      <c r="B497" s="7">
        <v>4140</v>
      </c>
      <c r="C497" s="8">
        <v>44695</v>
      </c>
    </row>
    <row r="498" spans="1:3" ht="15" x14ac:dyDescent="0.25">
      <c r="A498" s="4" t="s">
        <v>1435</v>
      </c>
      <c r="B498" s="7">
        <v>1188</v>
      </c>
      <c r="C498" s="8">
        <v>44729</v>
      </c>
    </row>
    <row r="499" spans="1:3" ht="15" x14ac:dyDescent="0.25">
      <c r="A499" s="4" t="s">
        <v>1436</v>
      </c>
      <c r="B499" s="7">
        <v>5382</v>
      </c>
      <c r="C499" s="8">
        <v>44682</v>
      </c>
    </row>
    <row r="500" spans="1:3" ht="15" x14ac:dyDescent="0.25">
      <c r="A500" s="4" t="s">
        <v>1437</v>
      </c>
      <c r="B500" s="7">
        <v>8281</v>
      </c>
      <c r="C500" s="8">
        <v>44656</v>
      </c>
    </row>
    <row r="501" spans="1:3" ht="15" x14ac:dyDescent="0.25">
      <c r="A501" s="4" t="s">
        <v>1438</v>
      </c>
      <c r="B501" s="7">
        <v>9375</v>
      </c>
      <c r="C501" s="8">
        <v>44738</v>
      </c>
    </row>
    <row r="502" spans="1:3" ht="15" x14ac:dyDescent="0.25">
      <c r="A502" s="4" t="s">
        <v>1439</v>
      </c>
      <c r="B502" s="7">
        <v>6836</v>
      </c>
      <c r="C502" s="8">
        <v>44642</v>
      </c>
    </row>
    <row r="503" spans="1:3" ht="15" x14ac:dyDescent="0.25">
      <c r="A503" s="4" t="s">
        <v>1440</v>
      </c>
      <c r="B503" s="7">
        <v>6731</v>
      </c>
      <c r="C503" s="8">
        <v>44700</v>
      </c>
    </row>
    <row r="504" spans="1:3" ht="15" x14ac:dyDescent="0.25">
      <c r="A504" s="4" t="s">
        <v>1441</v>
      </c>
      <c r="B504" s="7">
        <v>6322</v>
      </c>
      <c r="C504" s="8">
        <v>44733</v>
      </c>
    </row>
    <row r="505" spans="1:3" ht="15" x14ac:dyDescent="0.25">
      <c r="A505" s="4" t="s">
        <v>1442</v>
      </c>
      <c r="B505" s="7">
        <v>1521</v>
      </c>
      <c r="C505" s="8">
        <v>44699</v>
      </c>
    </row>
    <row r="506" spans="1:3" ht="15" x14ac:dyDescent="0.25">
      <c r="A506" s="4" t="s">
        <v>1443</v>
      </c>
      <c r="B506" s="7">
        <v>5453</v>
      </c>
      <c r="C506" s="8">
        <v>44684</v>
      </c>
    </row>
    <row r="507" spans="1:3" ht="15" x14ac:dyDescent="0.25">
      <c r="A507" s="4" t="s">
        <v>1444</v>
      </c>
      <c r="B507" s="7">
        <v>9476</v>
      </c>
      <c r="C507" s="8">
        <v>44639</v>
      </c>
    </row>
    <row r="508" spans="1:3" ht="15" x14ac:dyDescent="0.25">
      <c r="A508" s="4" t="s">
        <v>1445</v>
      </c>
      <c r="B508" s="7">
        <v>6524</v>
      </c>
      <c r="C508" s="8">
        <v>44623</v>
      </c>
    </row>
    <row r="509" spans="1:3" ht="15" x14ac:dyDescent="0.25">
      <c r="A509" s="4" t="s">
        <v>1446</v>
      </c>
      <c r="B509" s="7">
        <v>8260</v>
      </c>
      <c r="C509" s="8">
        <v>44739</v>
      </c>
    </row>
    <row r="510" spans="1:3" ht="15" x14ac:dyDescent="0.25">
      <c r="A510" s="4" t="s">
        <v>1447</v>
      </c>
      <c r="B510" s="7">
        <v>5546</v>
      </c>
      <c r="C510" s="8">
        <v>44686</v>
      </c>
    </row>
    <row r="511" spans="1:3" ht="15" x14ac:dyDescent="0.25">
      <c r="A511" s="4" t="s">
        <v>1448</v>
      </c>
      <c r="B511" s="7">
        <v>8794</v>
      </c>
      <c r="C511" s="8">
        <v>44626</v>
      </c>
    </row>
    <row r="512" spans="1:3" ht="15" x14ac:dyDescent="0.25">
      <c r="A512" s="4" t="s">
        <v>1449</v>
      </c>
      <c r="B512" s="7">
        <v>9131</v>
      </c>
      <c r="C512" s="8">
        <v>44688</v>
      </c>
    </row>
    <row r="513" spans="1:3" ht="15" x14ac:dyDescent="0.25">
      <c r="A513" s="4" t="s">
        <v>1450</v>
      </c>
      <c r="B513" s="7">
        <v>5213</v>
      </c>
      <c r="C513" s="8">
        <v>44624</v>
      </c>
    </row>
    <row r="514" spans="1:3" ht="15" x14ac:dyDescent="0.25">
      <c r="A514" s="4" t="s">
        <v>1451</v>
      </c>
      <c r="B514" s="7">
        <v>4182</v>
      </c>
      <c r="C514" s="8">
        <v>44683</v>
      </c>
    </row>
    <row r="515" spans="1:3" ht="15" x14ac:dyDescent="0.25">
      <c r="A515" s="4" t="s">
        <v>1452</v>
      </c>
      <c r="B515" s="7">
        <v>6938</v>
      </c>
      <c r="C515" s="8">
        <v>44621</v>
      </c>
    </row>
    <row r="516" spans="1:3" ht="15" x14ac:dyDescent="0.25">
      <c r="A516" s="4" t="s">
        <v>1453</v>
      </c>
      <c r="B516" s="7">
        <v>9403</v>
      </c>
      <c r="C516" s="8">
        <v>44663</v>
      </c>
    </row>
    <row r="517" spans="1:3" ht="15" x14ac:dyDescent="0.25">
      <c r="A517" s="4" t="s">
        <v>1454</v>
      </c>
      <c r="B517" s="7">
        <v>2964</v>
      </c>
      <c r="C517" s="8">
        <v>44676</v>
      </c>
    </row>
    <row r="518" spans="1:3" ht="15" x14ac:dyDescent="0.25">
      <c r="A518" s="4" t="s">
        <v>1455</v>
      </c>
      <c r="B518" s="7">
        <v>9404</v>
      </c>
      <c r="C518" s="8">
        <v>44698</v>
      </c>
    </row>
    <row r="519" spans="1:3" ht="15" x14ac:dyDescent="0.25">
      <c r="A519" s="4" t="s">
        <v>1456</v>
      </c>
      <c r="B519" s="7">
        <v>8374</v>
      </c>
      <c r="C519" s="8">
        <v>44736</v>
      </c>
    </row>
    <row r="520" spans="1:3" ht="15" x14ac:dyDescent="0.25">
      <c r="A520" s="4" t="s">
        <v>1457</v>
      </c>
      <c r="B520" s="7">
        <v>8424</v>
      </c>
      <c r="C520" s="8">
        <v>44639</v>
      </c>
    </row>
    <row r="521" spans="1:3" ht="15" x14ac:dyDescent="0.25">
      <c r="A521" s="4" t="s">
        <v>1458</v>
      </c>
      <c r="B521" s="7">
        <v>3487</v>
      </c>
      <c r="C521" s="8">
        <v>44675</v>
      </c>
    </row>
    <row r="522" spans="1:3" ht="15" x14ac:dyDescent="0.25">
      <c r="A522" s="4" t="s">
        <v>1459</v>
      </c>
      <c r="B522" s="7">
        <v>9344</v>
      </c>
      <c r="C522" s="8">
        <v>44669</v>
      </c>
    </row>
    <row r="523" spans="1:3" ht="15" x14ac:dyDescent="0.25">
      <c r="A523" s="4" t="s">
        <v>1460</v>
      </c>
      <c r="B523" s="7">
        <v>8211</v>
      </c>
      <c r="C523" s="8">
        <v>44661</v>
      </c>
    </row>
    <row r="524" spans="1:3" ht="15" x14ac:dyDescent="0.25">
      <c r="A524" s="4" t="s">
        <v>1461</v>
      </c>
      <c r="B524" s="7">
        <v>7649</v>
      </c>
      <c r="C524" s="8">
        <v>44623</v>
      </c>
    </row>
    <row r="525" spans="1:3" ht="15" x14ac:dyDescent="0.25">
      <c r="A525" s="4" t="s">
        <v>1462</v>
      </c>
      <c r="B525" s="7">
        <v>6705</v>
      </c>
      <c r="C525" s="8">
        <v>44625</v>
      </c>
    </row>
    <row r="526" spans="1:3" ht="15" x14ac:dyDescent="0.25">
      <c r="A526" s="4" t="s">
        <v>1463</v>
      </c>
      <c r="B526" s="7">
        <v>9473</v>
      </c>
      <c r="C526" s="8">
        <v>44719</v>
      </c>
    </row>
    <row r="527" spans="1:3" ht="15" x14ac:dyDescent="0.25">
      <c r="A527" s="4" t="s">
        <v>1464</v>
      </c>
      <c r="B527" s="7">
        <v>5149</v>
      </c>
      <c r="C527" s="8">
        <v>44623</v>
      </c>
    </row>
    <row r="528" spans="1:3" ht="15" x14ac:dyDescent="0.25">
      <c r="A528" s="4" t="s">
        <v>1465</v>
      </c>
      <c r="B528" s="7">
        <v>4527</v>
      </c>
      <c r="C528" s="8">
        <v>44692</v>
      </c>
    </row>
    <row r="529" spans="1:3" ht="15" x14ac:dyDescent="0.25">
      <c r="A529" s="4" t="s">
        <v>1466</v>
      </c>
      <c r="B529" s="7">
        <v>2302</v>
      </c>
      <c r="C529" s="8">
        <v>44662</v>
      </c>
    </row>
    <row r="530" spans="1:3" ht="15" x14ac:dyDescent="0.25">
      <c r="A530" s="4" t="s">
        <v>1467</v>
      </c>
      <c r="B530" s="7">
        <v>5162</v>
      </c>
      <c r="C530" s="8">
        <v>44633</v>
      </c>
    </row>
    <row r="531" spans="1:3" ht="15" x14ac:dyDescent="0.25">
      <c r="A531" s="4" t="s">
        <v>1468</v>
      </c>
      <c r="B531" s="7">
        <v>4278</v>
      </c>
      <c r="C531" s="8">
        <v>44667</v>
      </c>
    </row>
    <row r="532" spans="1:3" ht="15" x14ac:dyDescent="0.25">
      <c r="A532" s="4" t="s">
        <v>1469</v>
      </c>
      <c r="B532" s="7">
        <v>5820</v>
      </c>
      <c r="C532" s="8">
        <v>44707</v>
      </c>
    </row>
    <row r="533" spans="1:3" ht="15" x14ac:dyDescent="0.25">
      <c r="A533" s="4" t="s">
        <v>1470</v>
      </c>
      <c r="B533" s="7">
        <v>7921</v>
      </c>
      <c r="C533" s="8">
        <v>44729</v>
      </c>
    </row>
    <row r="534" spans="1:3" ht="15" x14ac:dyDescent="0.25">
      <c r="A534" s="4" t="s">
        <v>1471</v>
      </c>
      <c r="B534" s="7">
        <v>8546</v>
      </c>
      <c r="C534" s="8">
        <v>44734</v>
      </c>
    </row>
    <row r="535" spans="1:3" ht="15" x14ac:dyDescent="0.25">
      <c r="A535" s="4" t="s">
        <v>1472</v>
      </c>
      <c r="B535" s="7">
        <v>9153</v>
      </c>
      <c r="C535" s="8">
        <v>44668</v>
      </c>
    </row>
    <row r="536" spans="1:3" ht="15" x14ac:dyDescent="0.25">
      <c r="A536" s="4" t="s">
        <v>1473</v>
      </c>
      <c r="B536" s="7">
        <v>8529</v>
      </c>
      <c r="C536" s="8">
        <v>44731</v>
      </c>
    </row>
    <row r="537" spans="1:3" ht="15" x14ac:dyDescent="0.25">
      <c r="A537" s="4" t="s">
        <v>1474</v>
      </c>
      <c r="B537" s="7">
        <v>1498</v>
      </c>
      <c r="C537" s="8">
        <v>44654</v>
      </c>
    </row>
    <row r="538" spans="1:3" ht="15" x14ac:dyDescent="0.25">
      <c r="A538" s="4" t="s">
        <v>1475</v>
      </c>
      <c r="B538" s="7">
        <v>4146</v>
      </c>
      <c r="C538" s="8">
        <v>44655</v>
      </c>
    </row>
    <row r="539" spans="1:3" ht="15" x14ac:dyDescent="0.25">
      <c r="A539" s="4" t="s">
        <v>1476</v>
      </c>
      <c r="B539" s="7">
        <v>4417</v>
      </c>
      <c r="C539" s="8">
        <v>44621</v>
      </c>
    </row>
    <row r="540" spans="1:3" ht="15" x14ac:dyDescent="0.25">
      <c r="A540" s="4" t="s">
        <v>1477</v>
      </c>
      <c r="B540" s="7">
        <v>4554</v>
      </c>
      <c r="C540" s="8">
        <v>44717</v>
      </c>
    </row>
    <row r="541" spans="1:3" ht="15" x14ac:dyDescent="0.25">
      <c r="A541" s="4" t="s">
        <v>1478</v>
      </c>
      <c r="B541" s="7">
        <v>1477</v>
      </c>
      <c r="C541" s="8">
        <v>44711</v>
      </c>
    </row>
    <row r="542" spans="1:3" ht="15" x14ac:dyDescent="0.25">
      <c r="A542" s="4" t="s">
        <v>1479</v>
      </c>
      <c r="B542" s="7">
        <v>9359</v>
      </c>
      <c r="C542" s="8">
        <v>44709</v>
      </c>
    </row>
    <row r="543" spans="1:3" ht="15" x14ac:dyDescent="0.25">
      <c r="A543" s="4" t="s">
        <v>1480</v>
      </c>
      <c r="B543" s="7">
        <v>9647</v>
      </c>
      <c r="C543" s="8">
        <v>44693</v>
      </c>
    </row>
    <row r="544" spans="1:3" ht="15" x14ac:dyDescent="0.25">
      <c r="A544" s="4" t="s">
        <v>1481</v>
      </c>
      <c r="B544" s="7">
        <v>4382</v>
      </c>
      <c r="C544" s="8">
        <v>44650</v>
      </c>
    </row>
    <row r="545" spans="1:3" ht="15" x14ac:dyDescent="0.25">
      <c r="A545" s="4" t="s">
        <v>1482</v>
      </c>
      <c r="B545" s="7">
        <v>3575</v>
      </c>
      <c r="C545" s="8">
        <v>44651</v>
      </c>
    </row>
    <row r="546" spans="1:3" ht="15" x14ac:dyDescent="0.25">
      <c r="A546" s="4" t="s">
        <v>1483</v>
      </c>
      <c r="B546" s="7">
        <v>5370</v>
      </c>
      <c r="C546" s="8">
        <v>44654</v>
      </c>
    </row>
    <row r="547" spans="1:3" ht="15" x14ac:dyDescent="0.25">
      <c r="A547" s="4" t="s">
        <v>1484</v>
      </c>
      <c r="B547" s="7">
        <v>8866</v>
      </c>
      <c r="C547" s="8">
        <v>44703</v>
      </c>
    </row>
    <row r="548" spans="1:3" ht="15" x14ac:dyDescent="0.25">
      <c r="A548" s="4" t="s">
        <v>1485</v>
      </c>
      <c r="B548" s="7">
        <v>2031</v>
      </c>
      <c r="C548" s="8">
        <v>44732</v>
      </c>
    </row>
    <row r="549" spans="1:3" ht="15" x14ac:dyDescent="0.25">
      <c r="A549" s="4" t="s">
        <v>1486</v>
      </c>
      <c r="B549" s="7">
        <v>8845</v>
      </c>
      <c r="C549" s="8">
        <v>44657</v>
      </c>
    </row>
    <row r="550" spans="1:3" ht="15" x14ac:dyDescent="0.25">
      <c r="A550" s="4" t="s">
        <v>1487</v>
      </c>
      <c r="B550" s="7">
        <v>1972</v>
      </c>
      <c r="C550" s="8">
        <v>44681</v>
      </c>
    </row>
    <row r="551" spans="1:3" ht="15" x14ac:dyDescent="0.25">
      <c r="A551" s="4" t="s">
        <v>1488</v>
      </c>
      <c r="B551" s="7">
        <v>7851</v>
      </c>
      <c r="C551" s="8">
        <v>44691</v>
      </c>
    </row>
    <row r="552" spans="1:3" ht="15" x14ac:dyDescent="0.25">
      <c r="A552" s="4" t="s">
        <v>1489</v>
      </c>
      <c r="B552" s="7">
        <v>3121</v>
      </c>
      <c r="C552" s="8">
        <v>44717</v>
      </c>
    </row>
    <row r="553" spans="1:3" ht="15" x14ac:dyDescent="0.25">
      <c r="A553" s="4" t="s">
        <v>1490</v>
      </c>
      <c r="B553" s="7">
        <v>8321</v>
      </c>
      <c r="C553" s="8">
        <v>44679</v>
      </c>
    </row>
    <row r="554" spans="1:3" ht="15" x14ac:dyDescent="0.25">
      <c r="A554" s="4" t="s">
        <v>1491</v>
      </c>
      <c r="B554" s="7">
        <v>1716</v>
      </c>
      <c r="C554" s="8">
        <v>44671</v>
      </c>
    </row>
    <row r="555" spans="1:3" ht="15" x14ac:dyDescent="0.25">
      <c r="A555" s="4" t="s">
        <v>1492</v>
      </c>
      <c r="B555" s="7">
        <v>2589</v>
      </c>
      <c r="C555" s="8">
        <v>44669</v>
      </c>
    </row>
  </sheetData>
  <autoFilter ref="A1:C555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H10"/>
  <sheetViews>
    <sheetView workbookViewId="0">
      <selection activeCell="H3" sqref="H3"/>
    </sheetView>
  </sheetViews>
  <sheetFormatPr defaultColWidth="12.5703125" defaultRowHeight="15.75" customHeight="1" x14ac:dyDescent="0.2"/>
  <cols>
    <col min="7" max="7" width="26.5703125" customWidth="1"/>
    <col min="8" max="8" width="13.140625" bestFit="1" customWidth="1"/>
  </cols>
  <sheetData>
    <row r="2" spans="1:8" ht="15.75" customHeight="1" x14ac:dyDescent="0.25">
      <c r="A2" s="11" t="s">
        <v>1</v>
      </c>
      <c r="B2" s="11" t="s">
        <v>1493</v>
      </c>
      <c r="D2" s="11" t="s">
        <v>1494</v>
      </c>
      <c r="E2" s="11" t="s">
        <v>1495</v>
      </c>
      <c r="G2" s="12" t="s">
        <v>1496</v>
      </c>
      <c r="H2" s="7">
        <f>SUM('Base de vendas'!K2:K602)</f>
        <v>514113.59999999986</v>
      </c>
    </row>
    <row r="3" spans="1:8" ht="15.75" customHeight="1" x14ac:dyDescent="0.25">
      <c r="A3" s="2" t="s">
        <v>21</v>
      </c>
      <c r="B3" s="2" t="s">
        <v>1497</v>
      </c>
      <c r="D3" s="9" t="s">
        <v>22</v>
      </c>
      <c r="E3" s="13">
        <v>0.3</v>
      </c>
      <c r="G3" s="12" t="s">
        <v>1498</v>
      </c>
      <c r="H3" s="7">
        <f>SUM('Base de vendas'!L2:L602)</f>
        <v>554</v>
      </c>
    </row>
    <row r="4" spans="1:8" ht="15.75" customHeight="1" x14ac:dyDescent="0.25">
      <c r="A4" s="2" t="s">
        <v>33</v>
      </c>
      <c r="B4" s="2" t="s">
        <v>1497</v>
      </c>
      <c r="D4" s="9" t="s">
        <v>18</v>
      </c>
      <c r="E4" s="13">
        <v>0.2</v>
      </c>
    </row>
    <row r="5" spans="1:8" ht="15.75" customHeight="1" x14ac:dyDescent="0.25">
      <c r="A5" s="2" t="s">
        <v>36</v>
      </c>
      <c r="B5" s="2" t="s">
        <v>1497</v>
      </c>
    </row>
    <row r="6" spans="1:8" ht="15.75" customHeight="1" x14ac:dyDescent="0.25">
      <c r="A6" s="2" t="s">
        <v>29</v>
      </c>
      <c r="B6" s="2" t="s">
        <v>1499</v>
      </c>
    </row>
    <row r="7" spans="1:8" ht="15.75" customHeight="1" x14ac:dyDescent="0.25">
      <c r="A7" s="2" t="s">
        <v>27</v>
      </c>
      <c r="B7" s="2" t="s">
        <v>1499</v>
      </c>
    </row>
    <row r="8" spans="1:8" ht="15.75" customHeight="1" x14ac:dyDescent="0.25">
      <c r="A8" s="2" t="s">
        <v>24</v>
      </c>
      <c r="B8" s="2" t="s">
        <v>1499</v>
      </c>
    </row>
    <row r="9" spans="1:8" ht="15.75" customHeight="1" x14ac:dyDescent="0.25">
      <c r="A9" s="2" t="s">
        <v>17</v>
      </c>
      <c r="B9" s="2" t="s">
        <v>1500</v>
      </c>
    </row>
    <row r="10" spans="1:8" ht="15.75" customHeight="1" x14ac:dyDescent="0.25">
      <c r="A10" s="2" t="s">
        <v>31</v>
      </c>
      <c r="B10" s="2" t="s">
        <v>1500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U47"/>
  <sheetViews>
    <sheetView showGridLines="0" zoomScale="85" zoomScaleNormal="85" workbookViewId="0">
      <selection activeCell="J51" sqref="J51"/>
    </sheetView>
  </sheetViews>
  <sheetFormatPr defaultColWidth="12.5703125" defaultRowHeight="15.75" customHeight="1" x14ac:dyDescent="0.2"/>
  <cols>
    <col min="2" max="2" width="18.7109375" bestFit="1" customWidth="1"/>
    <col min="3" max="3" width="29.140625" bestFit="1" customWidth="1"/>
    <col min="4" max="4" width="4" customWidth="1"/>
    <col min="8" max="8" width="18.28515625" customWidth="1"/>
    <col min="10" max="10" width="5.28515625" customWidth="1"/>
    <col min="11" max="11" width="18.7109375" bestFit="1" customWidth="1"/>
    <col min="12" max="12" width="28.42578125" customWidth="1"/>
    <col min="15" max="15" width="18.7109375" bestFit="1" customWidth="1"/>
    <col min="16" max="16" width="29.140625" bestFit="1" customWidth="1"/>
    <col min="20" max="20" width="15.7109375" customWidth="1"/>
  </cols>
  <sheetData>
    <row r="2" spans="2:21" ht="20.25" x14ac:dyDescent="0.2">
      <c r="B2" s="22" t="s">
        <v>1517</v>
      </c>
      <c r="C2" s="22"/>
      <c r="D2" s="22"/>
      <c r="E2" s="30"/>
      <c r="F2" s="18" t="s">
        <v>1518</v>
      </c>
      <c r="G2" s="18"/>
      <c r="H2" s="18"/>
      <c r="I2" s="30"/>
      <c r="J2" s="18" t="s">
        <v>1521</v>
      </c>
      <c r="K2" s="18"/>
      <c r="L2" s="18"/>
      <c r="M2" s="30"/>
      <c r="N2" s="18" t="s">
        <v>1519</v>
      </c>
      <c r="O2" s="18"/>
      <c r="P2" s="18"/>
      <c r="Q2" s="30"/>
      <c r="R2" s="18" t="s">
        <v>1520</v>
      </c>
      <c r="S2" s="18"/>
      <c r="T2" s="18"/>
      <c r="U2" s="31"/>
    </row>
    <row r="3" spans="2:21" ht="15.75" customHeight="1" x14ac:dyDescent="0.2">
      <c r="B3" s="25">
        <f>SUM('Base de vendas'!M2:M602)</f>
        <v>3059353</v>
      </c>
      <c r="C3" s="25"/>
      <c r="D3" s="25"/>
      <c r="E3" s="30"/>
      <c r="F3" s="24">
        <f>SUM('Base de vendas'!K2:K602)</f>
        <v>514113.59999999986</v>
      </c>
      <c r="G3" s="24"/>
      <c r="H3" s="24"/>
      <c r="I3" s="30"/>
      <c r="J3" s="24">
        <f>SUM('Base de vendas'!L2:L602)</f>
        <v>554</v>
      </c>
      <c r="K3" s="24"/>
      <c r="L3" s="24"/>
      <c r="M3" s="30"/>
      <c r="N3" s="23">
        <f>COUNTA('Base de vendas'!L2:L602)</f>
        <v>601</v>
      </c>
      <c r="O3" s="23"/>
      <c r="P3" s="23"/>
      <c r="Q3" s="30"/>
      <c r="R3" s="24">
        <f>AVERAGE('Base de vendas'!H2:H602)</f>
        <v>5524.4525790349417</v>
      </c>
      <c r="S3" s="24"/>
      <c r="T3" s="24"/>
      <c r="U3" s="31"/>
    </row>
    <row r="4" spans="2:21" ht="15.75" customHeight="1" x14ac:dyDescent="0.2">
      <c r="B4" s="25"/>
      <c r="C4" s="25"/>
      <c r="D4" s="25"/>
      <c r="E4" s="30"/>
      <c r="F4" s="24"/>
      <c r="G4" s="24"/>
      <c r="H4" s="24"/>
      <c r="I4" s="30"/>
      <c r="J4" s="24"/>
      <c r="K4" s="24"/>
      <c r="L4" s="24"/>
      <c r="M4" s="30"/>
      <c r="N4" s="23"/>
      <c r="O4" s="23"/>
      <c r="P4" s="23"/>
      <c r="Q4" s="30"/>
      <c r="R4" s="24"/>
      <c r="S4" s="24"/>
      <c r="T4" s="24"/>
      <c r="U4" s="31"/>
    </row>
    <row r="5" spans="2:21" ht="15.75" customHeight="1" x14ac:dyDescent="0.2">
      <c r="B5" s="25"/>
      <c r="C5" s="25"/>
      <c r="D5" s="25"/>
      <c r="E5" s="30"/>
      <c r="F5" s="24"/>
      <c r="G5" s="24"/>
      <c r="H5" s="24"/>
      <c r="I5" s="30"/>
      <c r="J5" s="24"/>
      <c r="K5" s="24"/>
      <c r="L5" s="24"/>
      <c r="M5" s="30"/>
      <c r="N5" s="23"/>
      <c r="O5" s="23"/>
      <c r="P5" s="23"/>
      <c r="Q5" s="30"/>
      <c r="R5" s="24"/>
      <c r="S5" s="24"/>
      <c r="T5" s="24"/>
      <c r="U5" s="31"/>
    </row>
    <row r="6" spans="2:21" ht="15.75" customHeight="1" x14ac:dyDescent="0.2"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1"/>
    </row>
    <row r="7" spans="2:21" ht="15.75" customHeight="1" x14ac:dyDescent="0.2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1"/>
    </row>
    <row r="8" spans="2:21" ht="15.75" customHeight="1" x14ac:dyDescent="0.2"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1"/>
    </row>
    <row r="9" spans="2:21" ht="15.75" customHeight="1" x14ac:dyDescent="0.2"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1"/>
    </row>
    <row r="10" spans="2:21" ht="15.75" customHeight="1" x14ac:dyDescent="0.2"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1"/>
    </row>
    <row r="11" spans="2:21" ht="15.75" customHeight="1" x14ac:dyDescent="0.2">
      <c r="B11" s="19" t="s">
        <v>1522</v>
      </c>
      <c r="C11" t="s">
        <v>1524</v>
      </c>
      <c r="D11" s="31"/>
      <c r="E11" s="31"/>
      <c r="F11" s="31"/>
      <c r="G11" s="31"/>
      <c r="H11" s="31"/>
      <c r="I11" s="31"/>
      <c r="J11" s="30"/>
      <c r="K11" s="19" t="s">
        <v>1522</v>
      </c>
      <c r="L11" t="s">
        <v>1525</v>
      </c>
      <c r="M11" s="31"/>
      <c r="N11" s="31"/>
      <c r="O11" s="31"/>
      <c r="P11" s="31"/>
      <c r="Q11" s="31"/>
      <c r="R11" s="31"/>
      <c r="S11" s="30"/>
      <c r="T11" s="30"/>
      <c r="U11" s="31"/>
    </row>
    <row r="12" spans="2:21" ht="15.75" customHeight="1" x14ac:dyDescent="0.2">
      <c r="B12" s="20" t="s">
        <v>21</v>
      </c>
      <c r="C12" s="21">
        <v>73017.2</v>
      </c>
      <c r="D12" s="31"/>
      <c r="E12" s="31"/>
      <c r="F12" s="31"/>
      <c r="G12" s="31"/>
      <c r="H12" s="31"/>
      <c r="I12" s="31"/>
      <c r="J12" s="30"/>
      <c r="K12" s="20" t="s">
        <v>18</v>
      </c>
      <c r="L12" s="21">
        <v>1696595</v>
      </c>
      <c r="M12" s="31"/>
      <c r="N12" s="31"/>
      <c r="O12" s="31"/>
      <c r="P12" s="31"/>
      <c r="Q12" s="31"/>
      <c r="R12" s="31"/>
      <c r="S12" s="30"/>
      <c r="T12" s="30"/>
      <c r="U12" s="31"/>
    </row>
    <row r="13" spans="2:21" ht="15.75" customHeight="1" x14ac:dyDescent="0.2">
      <c r="B13" s="20" t="s">
        <v>33</v>
      </c>
      <c r="C13" s="21">
        <v>58981.69999999999</v>
      </c>
      <c r="D13" s="31"/>
      <c r="E13" s="31"/>
      <c r="F13" s="31"/>
      <c r="G13" s="31"/>
      <c r="H13" s="31"/>
      <c r="I13" s="31"/>
      <c r="J13" s="30"/>
      <c r="K13" s="20" t="s">
        <v>22</v>
      </c>
      <c r="L13" s="21">
        <v>1623601</v>
      </c>
      <c r="M13" s="31"/>
      <c r="N13" s="31"/>
      <c r="O13" s="31"/>
      <c r="P13" s="31"/>
      <c r="Q13" s="31"/>
      <c r="R13" s="31"/>
      <c r="S13" s="30"/>
      <c r="T13" s="30"/>
      <c r="U13" s="31"/>
    </row>
    <row r="14" spans="2:21" ht="15.75" customHeight="1" x14ac:dyDescent="0.2">
      <c r="B14" s="20" t="s">
        <v>36</v>
      </c>
      <c r="C14" s="21">
        <v>62403.69999999999</v>
      </c>
      <c r="D14" s="31"/>
      <c r="E14" s="31"/>
      <c r="F14" s="31"/>
      <c r="G14" s="31"/>
      <c r="H14" s="31"/>
      <c r="I14" s="31"/>
      <c r="J14" s="30"/>
      <c r="K14" s="20" t="s">
        <v>1523</v>
      </c>
      <c r="L14" s="21">
        <v>3320196</v>
      </c>
      <c r="M14" s="31"/>
      <c r="N14" s="31"/>
      <c r="O14" s="31"/>
      <c r="P14" s="31"/>
      <c r="Q14" s="31"/>
      <c r="R14" s="31"/>
      <c r="S14" s="30"/>
      <c r="T14" s="30"/>
      <c r="U14" s="31"/>
    </row>
    <row r="15" spans="2:21" ht="15.75" customHeight="1" x14ac:dyDescent="0.2">
      <c r="B15" s="20" t="s">
        <v>29</v>
      </c>
      <c r="C15" s="21">
        <v>68478</v>
      </c>
      <c r="D15" s="31"/>
      <c r="E15" s="31"/>
      <c r="F15" s="31"/>
      <c r="G15" s="31"/>
      <c r="H15" s="31"/>
      <c r="I15" s="31"/>
      <c r="J15" s="30"/>
      <c r="K15" s="30"/>
      <c r="L15" s="30"/>
      <c r="M15" s="31"/>
      <c r="N15" s="31"/>
      <c r="O15" s="31"/>
      <c r="P15" s="31"/>
      <c r="Q15" s="31"/>
      <c r="R15" s="31"/>
      <c r="S15" s="30"/>
      <c r="T15" s="30"/>
      <c r="U15" s="31"/>
    </row>
    <row r="16" spans="2:21" ht="15.75" customHeight="1" x14ac:dyDescent="0.2">
      <c r="B16" s="20" t="s">
        <v>27</v>
      </c>
      <c r="C16" s="21">
        <v>72464.7</v>
      </c>
      <c r="D16" s="31"/>
      <c r="E16" s="31"/>
      <c r="F16" s="31"/>
      <c r="G16" s="31"/>
      <c r="H16" s="31"/>
      <c r="I16" s="31"/>
      <c r="J16" s="30"/>
      <c r="K16" s="30"/>
      <c r="L16" s="30"/>
      <c r="M16" s="31"/>
      <c r="N16" s="31"/>
      <c r="O16" s="31"/>
      <c r="P16" s="31"/>
      <c r="Q16" s="31"/>
      <c r="R16" s="31"/>
      <c r="S16" s="30"/>
      <c r="T16" s="30"/>
      <c r="U16" s="31"/>
    </row>
    <row r="17" spans="2:21" ht="15.75" customHeight="1" x14ac:dyDescent="0.2">
      <c r="B17" s="20" t="s">
        <v>24</v>
      </c>
      <c r="C17" s="21">
        <v>50024.299999999996</v>
      </c>
      <c r="D17" s="31"/>
      <c r="E17" s="31"/>
      <c r="F17" s="31"/>
      <c r="G17" s="31"/>
      <c r="H17" s="31"/>
      <c r="I17" s="31"/>
      <c r="J17" s="30"/>
      <c r="K17" s="30"/>
      <c r="L17" s="30"/>
      <c r="M17" s="31"/>
      <c r="N17" s="31"/>
      <c r="O17" s="31"/>
      <c r="P17" s="31"/>
      <c r="Q17" s="31"/>
      <c r="R17" s="31"/>
      <c r="S17" s="30"/>
      <c r="T17" s="30"/>
      <c r="U17" s="31"/>
    </row>
    <row r="18" spans="2:21" ht="15.75" customHeight="1" x14ac:dyDescent="0.2">
      <c r="B18" s="20" t="s">
        <v>17</v>
      </c>
      <c r="C18" s="21">
        <v>74508.800000000003</v>
      </c>
      <c r="D18" s="31"/>
      <c r="E18" s="31"/>
      <c r="F18" s="31"/>
      <c r="G18" s="31"/>
      <c r="H18" s="31"/>
      <c r="I18" s="31"/>
      <c r="J18" s="30"/>
      <c r="K18" s="30"/>
      <c r="L18" s="30"/>
      <c r="M18" s="31"/>
      <c r="N18" s="31"/>
      <c r="O18" s="31"/>
      <c r="P18" s="31"/>
      <c r="Q18" s="31"/>
      <c r="R18" s="31"/>
      <c r="S18" s="30"/>
      <c r="T18" s="30"/>
      <c r="U18" s="31"/>
    </row>
    <row r="19" spans="2:21" ht="15.75" customHeight="1" x14ac:dyDescent="0.2">
      <c r="B19" s="20" t="s">
        <v>31</v>
      </c>
      <c r="C19" s="21">
        <v>54235.199999999997</v>
      </c>
      <c r="D19" s="31"/>
      <c r="E19" s="31"/>
      <c r="F19" s="31"/>
      <c r="G19" s="31"/>
      <c r="H19" s="31"/>
      <c r="I19" s="31"/>
      <c r="J19" s="30"/>
      <c r="K19" s="30"/>
      <c r="L19" s="30"/>
      <c r="M19" s="31"/>
      <c r="N19" s="31"/>
      <c r="O19" s="31"/>
      <c r="P19" s="31"/>
      <c r="Q19" s="31"/>
      <c r="R19" s="31"/>
      <c r="S19" s="30"/>
      <c r="T19" s="30"/>
      <c r="U19" s="31"/>
    </row>
    <row r="20" spans="2:21" ht="15.75" customHeight="1" x14ac:dyDescent="0.2">
      <c r="B20" s="20" t="s">
        <v>1523</v>
      </c>
      <c r="C20" s="21">
        <v>514113.6</v>
      </c>
      <c r="D20" s="31"/>
      <c r="E20" s="31"/>
      <c r="F20" s="31"/>
      <c r="G20" s="31"/>
      <c r="H20" s="31"/>
      <c r="I20" s="31"/>
      <c r="J20" s="30"/>
      <c r="K20" s="30"/>
      <c r="L20" s="30"/>
      <c r="M20" s="31"/>
      <c r="N20" s="31"/>
      <c r="O20" s="31"/>
      <c r="P20" s="31"/>
      <c r="Q20" s="31"/>
      <c r="R20" s="31"/>
      <c r="S20" s="30"/>
      <c r="T20" s="30"/>
      <c r="U20" s="31"/>
    </row>
    <row r="21" spans="2:21" ht="15.75" customHeight="1" x14ac:dyDescent="0.2">
      <c r="B21" s="30"/>
      <c r="C21" s="30"/>
      <c r="D21" s="31"/>
      <c r="E21" s="31"/>
      <c r="F21" s="31"/>
      <c r="G21" s="31"/>
      <c r="H21" s="31"/>
      <c r="I21" s="31"/>
      <c r="J21" s="30"/>
      <c r="K21" s="30"/>
      <c r="L21" s="30"/>
      <c r="M21" s="31"/>
      <c r="N21" s="31"/>
      <c r="O21" s="31"/>
      <c r="P21" s="31"/>
      <c r="Q21" s="31"/>
      <c r="R21" s="31"/>
      <c r="S21" s="30"/>
      <c r="T21" s="30"/>
      <c r="U21" s="31"/>
    </row>
    <row r="22" spans="2:21" ht="15.75" customHeight="1" x14ac:dyDescent="0.2">
      <c r="B22" s="30"/>
      <c r="C22" s="30"/>
      <c r="D22" s="31"/>
      <c r="E22" s="31"/>
      <c r="F22" s="31"/>
      <c r="G22" s="31"/>
      <c r="H22" s="31"/>
      <c r="I22" s="31"/>
      <c r="J22" s="30"/>
      <c r="K22" s="30"/>
      <c r="L22" s="30"/>
      <c r="M22" s="31"/>
      <c r="N22" s="31"/>
      <c r="O22" s="31"/>
      <c r="P22" s="31"/>
      <c r="Q22" s="31"/>
      <c r="R22" s="31"/>
      <c r="S22" s="30"/>
      <c r="T22" s="30"/>
      <c r="U22" s="31"/>
    </row>
    <row r="23" spans="2:21" ht="15.75" customHeight="1" x14ac:dyDescent="0.2">
      <c r="B23" s="30"/>
      <c r="C23" s="30"/>
      <c r="D23" s="31"/>
      <c r="E23" s="31"/>
      <c r="F23" s="31"/>
      <c r="G23" s="31"/>
      <c r="H23" s="31"/>
      <c r="I23" s="31"/>
      <c r="J23" s="30"/>
      <c r="K23" s="30"/>
      <c r="L23" s="30"/>
      <c r="M23" s="31"/>
      <c r="N23" s="31"/>
      <c r="O23" s="31"/>
      <c r="P23" s="31"/>
      <c r="Q23" s="31"/>
      <c r="R23" s="31"/>
      <c r="S23" s="30"/>
      <c r="T23" s="30"/>
      <c r="U23" s="31"/>
    </row>
    <row r="24" spans="2:21" ht="15.75" customHeight="1" x14ac:dyDescent="0.2">
      <c r="B24" s="30"/>
      <c r="C24" s="30"/>
      <c r="D24" s="31"/>
      <c r="E24" s="31"/>
      <c r="F24" s="31"/>
      <c r="G24" s="31"/>
      <c r="H24" s="31"/>
      <c r="I24" s="31"/>
      <c r="J24" s="30"/>
      <c r="K24" s="30"/>
      <c r="L24" s="30"/>
      <c r="M24" s="31"/>
      <c r="N24" s="31"/>
      <c r="O24" s="31"/>
      <c r="P24" s="31"/>
      <c r="Q24" s="31"/>
      <c r="R24" s="31"/>
      <c r="S24" s="30"/>
      <c r="T24" s="30"/>
      <c r="U24" s="31"/>
    </row>
    <row r="25" spans="2:21" ht="15.75" customHeight="1" x14ac:dyDescent="0.2">
      <c r="B25" s="30"/>
      <c r="C25" s="30"/>
      <c r="D25" s="31"/>
      <c r="E25" s="31"/>
      <c r="F25" s="31"/>
      <c r="G25" s="31"/>
      <c r="H25" s="31"/>
      <c r="I25" s="31"/>
      <c r="J25" s="30"/>
      <c r="K25" s="30"/>
      <c r="L25" s="30"/>
      <c r="M25" s="31"/>
      <c r="N25" s="31"/>
      <c r="O25" s="31"/>
      <c r="P25" s="31"/>
      <c r="Q25" s="31"/>
      <c r="R25" s="31"/>
      <c r="S25" s="30"/>
      <c r="T25" s="30"/>
      <c r="U25" s="31"/>
    </row>
    <row r="26" spans="2:21" ht="15.75" customHeight="1" x14ac:dyDescent="0.2">
      <c r="B26" s="30"/>
      <c r="C26" s="30"/>
      <c r="D26" s="31"/>
      <c r="E26" s="31"/>
      <c r="F26" s="31"/>
      <c r="G26" s="31"/>
      <c r="H26" s="31"/>
      <c r="I26" s="31"/>
      <c r="J26" s="30"/>
      <c r="K26" s="30"/>
      <c r="L26" s="30"/>
      <c r="M26" s="31"/>
      <c r="N26" s="31"/>
      <c r="O26" s="31"/>
      <c r="P26" s="31"/>
      <c r="Q26" s="31"/>
      <c r="R26" s="31"/>
      <c r="S26" s="30"/>
      <c r="T26" s="30"/>
      <c r="U26" s="31"/>
    </row>
    <row r="27" spans="2:21" ht="15.75" customHeight="1" x14ac:dyDescent="0.2">
      <c r="B27" s="30"/>
      <c r="C27" s="30"/>
      <c r="D27" s="31"/>
      <c r="E27" s="31"/>
      <c r="F27" s="31"/>
      <c r="G27" s="31"/>
      <c r="H27" s="31"/>
      <c r="I27" s="31"/>
      <c r="J27" s="30"/>
      <c r="K27" s="30"/>
      <c r="L27" s="30"/>
      <c r="M27" s="31"/>
      <c r="N27" s="31"/>
      <c r="O27" s="31"/>
      <c r="P27" s="31"/>
      <c r="Q27" s="31"/>
      <c r="R27" s="31"/>
      <c r="S27" s="30"/>
      <c r="T27" s="30"/>
      <c r="U27" s="31"/>
    </row>
    <row r="28" spans="2:21" ht="15.75" customHeight="1" x14ac:dyDescent="0.2"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1"/>
    </row>
    <row r="29" spans="2:21" ht="15.75" customHeight="1" x14ac:dyDescent="0.2"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1"/>
    </row>
    <row r="30" spans="2:21" ht="15.75" customHeight="1" x14ac:dyDescent="0.2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1"/>
    </row>
    <row r="31" spans="2:21" ht="15.75" customHeight="1" x14ac:dyDescent="0.2">
      <c r="B31" s="19" t="s">
        <v>1522</v>
      </c>
      <c r="C31" t="s">
        <v>1525</v>
      </c>
      <c r="D31" s="31"/>
      <c r="E31" s="31"/>
      <c r="F31" s="31"/>
      <c r="G31" s="31"/>
      <c r="H31" s="31"/>
      <c r="I31" s="31"/>
      <c r="J31" s="30"/>
      <c r="K31" s="19" t="s">
        <v>1522</v>
      </c>
      <c r="L31" t="s">
        <v>1524</v>
      </c>
      <c r="M31" s="31"/>
      <c r="N31" s="31"/>
      <c r="O31" s="31"/>
      <c r="P31" s="31"/>
      <c r="Q31" s="31"/>
      <c r="R31" s="31"/>
      <c r="S31" s="30"/>
      <c r="T31" s="30"/>
      <c r="U31" s="31"/>
    </row>
    <row r="32" spans="2:21" ht="15.75" customHeight="1" x14ac:dyDescent="0.2">
      <c r="B32" s="20" t="s">
        <v>1497</v>
      </c>
      <c r="C32" s="21">
        <v>1276312</v>
      </c>
      <c r="D32" s="31"/>
      <c r="E32" s="31"/>
      <c r="F32" s="31"/>
      <c r="G32" s="31"/>
      <c r="H32" s="31"/>
      <c r="I32" s="31"/>
      <c r="J32" s="30"/>
      <c r="K32" s="32">
        <v>15</v>
      </c>
      <c r="L32" s="21">
        <v>0</v>
      </c>
      <c r="M32" s="31"/>
      <c r="N32" s="31"/>
      <c r="O32" s="31"/>
      <c r="P32" s="31"/>
      <c r="Q32" s="31"/>
      <c r="R32" s="31"/>
      <c r="S32" s="30"/>
      <c r="T32" s="30"/>
      <c r="U32" s="31"/>
    </row>
    <row r="33" spans="2:21" ht="15.75" customHeight="1" x14ac:dyDescent="0.2">
      <c r="B33" s="20" t="s">
        <v>1499</v>
      </c>
      <c r="C33" s="21">
        <v>1209649</v>
      </c>
      <c r="D33" s="31"/>
      <c r="E33" s="31"/>
      <c r="F33" s="31"/>
      <c r="G33" s="31"/>
      <c r="H33" s="31"/>
      <c r="I33" s="31"/>
      <c r="J33" s="30"/>
      <c r="K33" s="32">
        <v>32</v>
      </c>
      <c r="L33" s="21">
        <v>0</v>
      </c>
      <c r="M33" s="31"/>
      <c r="N33" s="31"/>
      <c r="O33" s="31"/>
      <c r="P33" s="31"/>
      <c r="Q33" s="31"/>
      <c r="R33" s="31"/>
      <c r="S33" s="30"/>
      <c r="T33" s="30"/>
      <c r="U33" s="31"/>
    </row>
    <row r="34" spans="2:21" ht="15.75" customHeight="1" x14ac:dyDescent="0.2">
      <c r="B34" s="20" t="s">
        <v>1500</v>
      </c>
      <c r="C34" s="21">
        <v>834235</v>
      </c>
      <c r="D34" s="31"/>
      <c r="E34" s="31"/>
      <c r="F34" s="31"/>
      <c r="G34" s="31"/>
      <c r="H34" s="31"/>
      <c r="I34" s="31"/>
      <c r="J34" s="30"/>
      <c r="K34" s="32">
        <v>44635</v>
      </c>
      <c r="L34" s="21">
        <v>67623.699999999983</v>
      </c>
      <c r="M34" s="31"/>
      <c r="N34" s="31"/>
      <c r="O34" s="31"/>
      <c r="P34" s="31"/>
      <c r="Q34" s="31"/>
      <c r="R34" s="31"/>
      <c r="S34" s="30"/>
      <c r="T34" s="30"/>
      <c r="U34" s="31"/>
    </row>
    <row r="35" spans="2:21" ht="15.75" customHeight="1" x14ac:dyDescent="0.2">
      <c r="B35" s="20" t="s">
        <v>1523</v>
      </c>
      <c r="C35" s="21">
        <v>3320196</v>
      </c>
      <c r="D35" s="31"/>
      <c r="E35" s="31"/>
      <c r="F35" s="31"/>
      <c r="G35" s="31"/>
      <c r="H35" s="31"/>
      <c r="I35" s="31"/>
      <c r="J35" s="30"/>
      <c r="K35" s="32">
        <v>44652</v>
      </c>
      <c r="L35" s="21">
        <v>81866.400000000038</v>
      </c>
      <c r="M35" s="31"/>
      <c r="N35" s="31"/>
      <c r="O35" s="31"/>
      <c r="P35" s="31"/>
      <c r="Q35" s="31"/>
      <c r="R35" s="31"/>
      <c r="S35" s="30"/>
      <c r="T35" s="30"/>
      <c r="U35" s="31"/>
    </row>
    <row r="36" spans="2:21" ht="15.75" customHeight="1" x14ac:dyDescent="0.2">
      <c r="B36" s="30"/>
      <c r="C36" s="30"/>
      <c r="D36" s="31"/>
      <c r="E36" s="31"/>
      <c r="F36" s="31"/>
      <c r="G36" s="31"/>
      <c r="H36" s="31"/>
      <c r="I36" s="31"/>
      <c r="J36" s="30"/>
      <c r="K36" s="32">
        <v>44666</v>
      </c>
      <c r="L36" s="21">
        <v>45771.4</v>
      </c>
      <c r="M36" s="31"/>
      <c r="N36" s="31"/>
      <c r="O36" s="31"/>
      <c r="P36" s="31"/>
      <c r="Q36" s="31"/>
      <c r="R36" s="31"/>
      <c r="S36" s="30"/>
      <c r="T36" s="30"/>
      <c r="U36" s="31"/>
    </row>
    <row r="37" spans="2:21" ht="15.75" customHeight="1" x14ac:dyDescent="0.2">
      <c r="B37" s="30"/>
      <c r="C37" s="30"/>
      <c r="D37" s="31"/>
      <c r="E37" s="31"/>
      <c r="F37" s="31"/>
      <c r="G37" s="31"/>
      <c r="H37" s="31"/>
      <c r="I37" s="31"/>
      <c r="J37" s="30"/>
      <c r="K37" s="32">
        <v>44682</v>
      </c>
      <c r="L37" s="21">
        <v>72089.8</v>
      </c>
      <c r="M37" s="31"/>
      <c r="N37" s="31"/>
      <c r="O37" s="31"/>
      <c r="P37" s="31"/>
      <c r="Q37" s="31"/>
      <c r="R37" s="31"/>
      <c r="S37" s="30"/>
      <c r="T37" s="30"/>
      <c r="U37" s="31"/>
    </row>
    <row r="38" spans="2:21" ht="15.75" customHeight="1" x14ac:dyDescent="0.2">
      <c r="B38" s="30"/>
      <c r="C38" s="30"/>
      <c r="D38" s="31"/>
      <c r="E38" s="31"/>
      <c r="F38" s="31"/>
      <c r="G38" s="31"/>
      <c r="H38" s="31"/>
      <c r="I38" s="31"/>
      <c r="J38" s="30"/>
      <c r="K38" s="32">
        <v>44696</v>
      </c>
      <c r="L38" s="21">
        <v>41211.799999999996</v>
      </c>
      <c r="M38" s="31"/>
      <c r="N38" s="31"/>
      <c r="O38" s="31"/>
      <c r="P38" s="31"/>
      <c r="Q38" s="31"/>
      <c r="R38" s="31"/>
      <c r="S38" s="30"/>
      <c r="T38" s="30"/>
      <c r="U38" s="31"/>
    </row>
    <row r="39" spans="2:21" ht="15.75" customHeight="1" x14ac:dyDescent="0.2">
      <c r="B39" s="30"/>
      <c r="C39" s="30"/>
      <c r="D39" s="31"/>
      <c r="E39" s="31"/>
      <c r="F39" s="31"/>
      <c r="G39" s="31"/>
      <c r="H39" s="31"/>
      <c r="I39" s="31"/>
      <c r="J39" s="30"/>
      <c r="K39" s="32">
        <v>44713</v>
      </c>
      <c r="L39" s="21">
        <v>88914.599999999962</v>
      </c>
      <c r="M39" s="31"/>
      <c r="N39" s="31"/>
      <c r="O39" s="31"/>
      <c r="P39" s="31"/>
      <c r="Q39" s="31"/>
      <c r="R39" s="31"/>
      <c r="S39" s="30"/>
      <c r="T39" s="30"/>
      <c r="U39" s="31"/>
    </row>
    <row r="40" spans="2:21" ht="15.75" customHeight="1" x14ac:dyDescent="0.2">
      <c r="B40" s="30"/>
      <c r="C40" s="30"/>
      <c r="D40" s="31"/>
      <c r="E40" s="31"/>
      <c r="F40" s="31"/>
      <c r="G40" s="31"/>
      <c r="H40" s="31"/>
      <c r="I40" s="31"/>
      <c r="J40" s="30"/>
      <c r="K40" s="32">
        <v>44727</v>
      </c>
      <c r="L40" s="21">
        <v>37830.9</v>
      </c>
      <c r="M40" s="31"/>
      <c r="N40" s="31"/>
      <c r="O40" s="31"/>
      <c r="P40" s="31"/>
      <c r="Q40" s="31"/>
      <c r="R40" s="31"/>
      <c r="S40" s="30"/>
      <c r="T40" s="30"/>
      <c r="U40" s="31"/>
    </row>
    <row r="41" spans="2:21" ht="15.75" customHeight="1" x14ac:dyDescent="0.2">
      <c r="B41" s="30"/>
      <c r="C41" s="30"/>
      <c r="D41" s="31"/>
      <c r="E41" s="31"/>
      <c r="F41" s="31"/>
      <c r="G41" s="31"/>
      <c r="H41" s="31"/>
      <c r="I41" s="31"/>
      <c r="J41" s="30"/>
      <c r="K41" s="32">
        <v>44743</v>
      </c>
      <c r="L41" s="21">
        <v>74901.200000000026</v>
      </c>
      <c r="M41" s="31"/>
      <c r="N41" s="31"/>
      <c r="O41" s="31"/>
      <c r="P41" s="31"/>
      <c r="Q41" s="31"/>
      <c r="R41" s="31"/>
      <c r="S41" s="30"/>
      <c r="T41" s="30"/>
      <c r="U41" s="31"/>
    </row>
    <row r="42" spans="2:21" ht="15.75" customHeight="1" x14ac:dyDescent="0.2">
      <c r="B42" s="30"/>
      <c r="C42" s="30"/>
      <c r="D42" s="31"/>
      <c r="E42" s="31"/>
      <c r="F42" s="31"/>
      <c r="G42" s="31"/>
      <c r="H42" s="31"/>
      <c r="I42" s="31"/>
      <c r="J42" s="30"/>
      <c r="K42" s="32">
        <v>44757</v>
      </c>
      <c r="L42" s="21">
        <v>1964.8000000000002</v>
      </c>
      <c r="M42" s="31"/>
      <c r="N42" s="31"/>
      <c r="O42" s="31"/>
      <c r="P42" s="31"/>
      <c r="Q42" s="31"/>
      <c r="R42" s="31"/>
      <c r="S42" s="30"/>
      <c r="T42" s="30"/>
      <c r="U42" s="31"/>
    </row>
    <row r="43" spans="2:21" ht="15.75" customHeight="1" x14ac:dyDescent="0.2">
      <c r="B43" s="30"/>
      <c r="C43" s="30"/>
      <c r="D43" s="31"/>
      <c r="E43" s="31"/>
      <c r="F43" s="31"/>
      <c r="G43" s="31"/>
      <c r="H43" s="31"/>
      <c r="I43" s="31"/>
      <c r="J43" s="30"/>
      <c r="K43" s="32">
        <v>44774</v>
      </c>
      <c r="L43" s="21">
        <v>1939</v>
      </c>
      <c r="M43" s="31"/>
      <c r="N43" s="31"/>
      <c r="O43" s="31"/>
      <c r="P43" s="31"/>
      <c r="Q43" s="31"/>
      <c r="R43" s="31"/>
      <c r="S43" s="30"/>
      <c r="T43" s="30"/>
      <c r="U43" s="31"/>
    </row>
    <row r="44" spans="2:21" ht="15.75" customHeight="1" x14ac:dyDescent="0.2">
      <c r="B44" s="30"/>
      <c r="C44" s="30"/>
      <c r="D44" s="31"/>
      <c r="E44" s="31"/>
      <c r="F44" s="31"/>
      <c r="G44" s="31"/>
      <c r="H44" s="31"/>
      <c r="I44" s="31"/>
      <c r="J44" s="30"/>
      <c r="K44" s="32" t="s">
        <v>1523</v>
      </c>
      <c r="L44" s="21">
        <v>514113.60000000003</v>
      </c>
      <c r="M44" s="31"/>
      <c r="N44" s="31"/>
      <c r="O44" s="31"/>
      <c r="P44" s="31"/>
      <c r="Q44" s="31"/>
      <c r="R44" s="31"/>
      <c r="S44" s="30"/>
      <c r="T44" s="30"/>
      <c r="U44" s="31"/>
    </row>
    <row r="45" spans="2:21" ht="15.75" customHeight="1" x14ac:dyDescent="0.2">
      <c r="B45" s="30"/>
      <c r="C45" s="30"/>
      <c r="D45" s="31"/>
      <c r="E45" s="31"/>
      <c r="F45" s="31"/>
      <c r="G45" s="31"/>
      <c r="H45" s="31"/>
      <c r="I45" s="31"/>
      <c r="J45" s="30"/>
      <c r="K45" s="30"/>
      <c r="L45" s="30"/>
      <c r="M45" s="31"/>
      <c r="N45" s="31"/>
      <c r="O45" s="31"/>
      <c r="P45" s="31"/>
      <c r="Q45" s="31"/>
      <c r="R45" s="31"/>
      <c r="S45" s="30"/>
      <c r="T45" s="30"/>
      <c r="U45" s="31"/>
    </row>
    <row r="46" spans="2:21" ht="15.75" customHeight="1" x14ac:dyDescent="0.2">
      <c r="B46" s="30"/>
      <c r="C46" s="30"/>
      <c r="D46" s="31"/>
      <c r="E46" s="31"/>
      <c r="F46" s="31"/>
      <c r="G46" s="31"/>
      <c r="H46" s="31"/>
      <c r="I46" s="31"/>
      <c r="J46" s="30"/>
      <c r="K46" s="30"/>
      <c r="L46" s="30"/>
      <c r="M46" s="31"/>
      <c r="N46" s="31"/>
      <c r="O46" s="31"/>
      <c r="P46" s="31"/>
      <c r="Q46" s="31"/>
      <c r="R46" s="31"/>
      <c r="S46" s="30"/>
      <c r="T46" s="30"/>
      <c r="U46" s="31"/>
    </row>
    <row r="47" spans="2:21" ht="15.75" customHeight="1" x14ac:dyDescent="0.2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1"/>
    </row>
  </sheetData>
  <mergeCells count="10">
    <mergeCell ref="B3:D5"/>
    <mergeCell ref="B2:D2"/>
    <mergeCell ref="J3:L5"/>
    <mergeCell ref="J2:L2"/>
    <mergeCell ref="F2:H2"/>
    <mergeCell ref="F3:H5"/>
    <mergeCell ref="N2:P2"/>
    <mergeCell ref="N3:P5"/>
    <mergeCell ref="R2:T2"/>
    <mergeCell ref="R3:T5"/>
  </mergeCells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002"/>
  <sheetViews>
    <sheetView workbookViewId="0"/>
  </sheetViews>
  <sheetFormatPr defaultColWidth="12.5703125" defaultRowHeight="15.75" customHeight="1" x14ac:dyDescent="0.2"/>
  <cols>
    <col min="1" max="1" width="37.85546875" customWidth="1"/>
    <col min="7" max="7" width="38.5703125" customWidth="1"/>
    <col min="11" max="11" width="28.28515625" customWidth="1"/>
  </cols>
  <sheetData>
    <row r="1" spans="1:16" x14ac:dyDescent="0.2">
      <c r="A1" s="9" t="s">
        <v>1501</v>
      </c>
      <c r="G1" s="9" t="s">
        <v>1502</v>
      </c>
      <c r="K1" s="9" t="s">
        <v>1503</v>
      </c>
      <c r="L1" s="9" t="s">
        <v>1504</v>
      </c>
    </row>
    <row r="2" spans="1:16" x14ac:dyDescent="0.2">
      <c r="A2" s="9" t="s">
        <v>1505</v>
      </c>
      <c r="B2" s="9"/>
      <c r="G2" s="14" t="s">
        <v>1506</v>
      </c>
      <c r="K2" s="14" t="s">
        <v>1507</v>
      </c>
    </row>
    <row r="3" spans="1:16" x14ac:dyDescent="0.2">
      <c r="A3" s="9"/>
      <c r="B3" s="9"/>
    </row>
    <row r="4" spans="1:16" x14ac:dyDescent="0.2">
      <c r="A4" s="15" t="s">
        <v>1</v>
      </c>
      <c r="B4" s="15" t="s">
        <v>1508</v>
      </c>
      <c r="D4" s="16" t="e">
        <f t="array" aca="1" ref="D4:E8" ca="1">_xludf.UNIQUE(A4:B17)</f>
        <v>#NAME?</v>
      </c>
      <c r="E4" s="9" t="e">
        <f ca="1"/>
        <v>#NAME?</v>
      </c>
      <c r="G4" s="15" t="s">
        <v>1509</v>
      </c>
      <c r="H4" s="15" t="s">
        <v>1510</v>
      </c>
      <c r="K4" s="9" t="s">
        <v>1511</v>
      </c>
      <c r="L4" s="9" t="s">
        <v>1512</v>
      </c>
      <c r="M4" s="9" t="s">
        <v>1513</v>
      </c>
      <c r="O4" s="9" t="s">
        <v>1514</v>
      </c>
    </row>
    <row r="5" spans="1:16" x14ac:dyDescent="0.2">
      <c r="A5" s="9" t="s">
        <v>21</v>
      </c>
      <c r="B5" s="9" t="s">
        <v>1515</v>
      </c>
      <c r="D5" s="9" t="e">
        <f ca="1"/>
        <v>#NAME?</v>
      </c>
      <c r="E5" s="9" t="e">
        <f ca="1"/>
        <v>#NAME?</v>
      </c>
      <c r="G5" s="9">
        <v>1</v>
      </c>
      <c r="H5" s="16">
        <f t="array" ref="H5:H1002">IF(G5:G1002="","",G5:G1002*10)</f>
        <v>10</v>
      </c>
      <c r="K5" s="9">
        <v>1</v>
      </c>
      <c r="L5" s="9">
        <v>0</v>
      </c>
      <c r="M5" s="9">
        <v>10</v>
      </c>
      <c r="O5" s="17">
        <v>1</v>
      </c>
      <c r="P5" s="9">
        <v>10</v>
      </c>
    </row>
    <row r="6" spans="1:16" x14ac:dyDescent="0.2">
      <c r="A6" s="9" t="s">
        <v>21</v>
      </c>
      <c r="B6" s="9" t="s">
        <v>1515</v>
      </c>
      <c r="D6" s="9" t="e">
        <f ca="1"/>
        <v>#NAME?</v>
      </c>
      <c r="E6" s="9" t="e">
        <f ca="1"/>
        <v>#NAME?</v>
      </c>
      <c r="G6" s="9">
        <v>2</v>
      </c>
      <c r="H6" s="9">
        <v>20</v>
      </c>
      <c r="K6" s="9">
        <v>2</v>
      </c>
      <c r="L6" s="9">
        <v>0</v>
      </c>
      <c r="M6" s="9">
        <v>10</v>
      </c>
      <c r="O6" s="9">
        <v>2</v>
      </c>
      <c r="P6" s="9">
        <v>10</v>
      </c>
    </row>
    <row r="7" spans="1:16" x14ac:dyDescent="0.2">
      <c r="A7" s="9" t="s">
        <v>21</v>
      </c>
      <c r="B7" s="9" t="s">
        <v>1515</v>
      </c>
      <c r="D7" s="9" t="e">
        <f ca="1"/>
        <v>#NAME?</v>
      </c>
      <c r="E7" s="9" t="e">
        <f ca="1"/>
        <v>#NAME?</v>
      </c>
      <c r="G7" s="9">
        <v>3</v>
      </c>
      <c r="H7" s="9">
        <v>30</v>
      </c>
      <c r="K7" s="9">
        <v>3</v>
      </c>
      <c r="L7" s="9">
        <v>0</v>
      </c>
      <c r="M7" s="9">
        <v>10</v>
      </c>
      <c r="O7" s="9">
        <v>3</v>
      </c>
      <c r="P7" s="9">
        <v>10</v>
      </c>
    </row>
    <row r="8" spans="1:16" x14ac:dyDescent="0.2">
      <c r="A8" s="9" t="s">
        <v>21</v>
      </c>
      <c r="B8" s="9" t="s">
        <v>1516</v>
      </c>
      <c r="D8" s="9" t="e">
        <f ca="1"/>
        <v>#NAME?</v>
      </c>
      <c r="E8" s="9" t="e">
        <f ca="1"/>
        <v>#NAME?</v>
      </c>
      <c r="G8" s="9">
        <v>4</v>
      </c>
      <c r="H8" s="9">
        <v>40</v>
      </c>
      <c r="K8" s="9">
        <v>4</v>
      </c>
      <c r="L8" s="9">
        <v>0</v>
      </c>
      <c r="M8" s="9">
        <v>10</v>
      </c>
      <c r="O8" s="9">
        <v>4</v>
      </c>
      <c r="P8" s="9">
        <v>10</v>
      </c>
    </row>
    <row r="9" spans="1:16" x14ac:dyDescent="0.2">
      <c r="A9" s="9" t="s">
        <v>21</v>
      </c>
      <c r="B9" s="9" t="s">
        <v>1516</v>
      </c>
      <c r="G9" s="9">
        <v>5</v>
      </c>
      <c r="H9" s="9">
        <v>50</v>
      </c>
      <c r="K9" s="9">
        <v>5</v>
      </c>
      <c r="L9" s="9">
        <v>0</v>
      </c>
      <c r="M9" s="9">
        <v>10</v>
      </c>
      <c r="O9" s="9">
        <v>5</v>
      </c>
      <c r="P9" s="9">
        <v>10</v>
      </c>
    </row>
    <row r="10" spans="1:16" x14ac:dyDescent="0.2">
      <c r="A10" s="9" t="s">
        <v>21</v>
      </c>
      <c r="B10" s="9" t="s">
        <v>1516</v>
      </c>
      <c r="G10" s="9">
        <v>6</v>
      </c>
      <c r="H10" s="9">
        <v>60</v>
      </c>
      <c r="K10" s="9">
        <v>6</v>
      </c>
      <c r="L10" s="9">
        <v>0</v>
      </c>
      <c r="M10" s="9">
        <v>10</v>
      </c>
      <c r="O10" s="9">
        <v>6</v>
      </c>
      <c r="P10" s="9">
        <v>10</v>
      </c>
    </row>
    <row r="11" spans="1:16" x14ac:dyDescent="0.2">
      <c r="A11" s="9" t="s">
        <v>33</v>
      </c>
      <c r="B11" s="9" t="s">
        <v>1515</v>
      </c>
      <c r="G11" s="9">
        <v>7</v>
      </c>
      <c r="H11" s="9">
        <v>70</v>
      </c>
      <c r="K11" s="9">
        <v>7</v>
      </c>
      <c r="L11" s="9">
        <v>0</v>
      </c>
      <c r="M11" s="9">
        <v>10</v>
      </c>
      <c r="O11" s="9">
        <v>7</v>
      </c>
      <c r="P11" s="9">
        <v>10</v>
      </c>
    </row>
    <row r="12" spans="1:16" x14ac:dyDescent="0.2">
      <c r="A12" s="9" t="s">
        <v>33</v>
      </c>
      <c r="B12" s="9" t="s">
        <v>1515</v>
      </c>
      <c r="G12" s="9">
        <v>8</v>
      </c>
      <c r="H12" s="9">
        <v>80</v>
      </c>
    </row>
    <row r="13" spans="1:16" x14ac:dyDescent="0.2">
      <c r="A13" s="9" t="s">
        <v>33</v>
      </c>
      <c r="B13" s="9" t="s">
        <v>1515</v>
      </c>
      <c r="G13" s="9">
        <v>9</v>
      </c>
      <c r="H13" s="9">
        <v>90</v>
      </c>
    </row>
    <row r="14" spans="1:16" x14ac:dyDescent="0.2">
      <c r="A14" s="9" t="s">
        <v>33</v>
      </c>
      <c r="B14" s="9" t="s">
        <v>1515</v>
      </c>
      <c r="G14" s="9">
        <v>0</v>
      </c>
      <c r="H14" s="9">
        <v>0</v>
      </c>
    </row>
    <row r="15" spans="1:16" x14ac:dyDescent="0.2">
      <c r="A15" s="9" t="s">
        <v>33</v>
      </c>
      <c r="B15" s="9" t="s">
        <v>1516</v>
      </c>
      <c r="H15" s="9" t="str">
        <v/>
      </c>
    </row>
    <row r="16" spans="1:16" x14ac:dyDescent="0.2">
      <c r="A16" s="9" t="s">
        <v>33</v>
      </c>
      <c r="B16" s="9" t="s">
        <v>1516</v>
      </c>
      <c r="H16" s="9" t="str">
        <v/>
      </c>
    </row>
    <row r="17" spans="1:8" x14ac:dyDescent="0.2">
      <c r="A17" s="9" t="s">
        <v>33</v>
      </c>
      <c r="B17" s="9" t="s">
        <v>1516</v>
      </c>
      <c r="H17" s="9" t="str">
        <v/>
      </c>
    </row>
    <row r="18" spans="1:8" x14ac:dyDescent="0.2">
      <c r="H18" s="9" t="str">
        <v/>
      </c>
    </row>
    <row r="19" spans="1:8" x14ac:dyDescent="0.2">
      <c r="H19" s="9" t="str">
        <v/>
      </c>
    </row>
    <row r="20" spans="1:8" x14ac:dyDescent="0.2">
      <c r="H20" s="9" t="str">
        <v/>
      </c>
    </row>
    <row r="21" spans="1:8" x14ac:dyDescent="0.2">
      <c r="H21" s="9" t="str">
        <v/>
      </c>
    </row>
    <row r="22" spans="1:8" x14ac:dyDescent="0.2">
      <c r="H22" s="9" t="str">
        <v/>
      </c>
    </row>
    <row r="23" spans="1:8" x14ac:dyDescent="0.2">
      <c r="H23" s="9" t="str">
        <v/>
      </c>
    </row>
    <row r="24" spans="1:8" x14ac:dyDescent="0.2">
      <c r="H24" s="9" t="str">
        <v/>
      </c>
    </row>
    <row r="25" spans="1:8" x14ac:dyDescent="0.2">
      <c r="H25" s="9" t="str">
        <v/>
      </c>
    </row>
    <row r="26" spans="1:8" x14ac:dyDescent="0.2">
      <c r="H26" s="9" t="str">
        <v/>
      </c>
    </row>
    <row r="27" spans="1:8" x14ac:dyDescent="0.2">
      <c r="H27" s="9" t="str">
        <v/>
      </c>
    </row>
    <row r="28" spans="1:8" x14ac:dyDescent="0.2">
      <c r="H28" s="9" t="str">
        <v/>
      </c>
    </row>
    <row r="29" spans="1:8" x14ac:dyDescent="0.2">
      <c r="H29" s="9" t="str">
        <v/>
      </c>
    </row>
    <row r="30" spans="1:8" x14ac:dyDescent="0.2">
      <c r="H30" s="9" t="str">
        <v/>
      </c>
    </row>
    <row r="31" spans="1:8" x14ac:dyDescent="0.2">
      <c r="H31" s="9" t="str">
        <v/>
      </c>
    </row>
    <row r="32" spans="1:8" x14ac:dyDescent="0.2">
      <c r="H32" s="9" t="str">
        <v/>
      </c>
    </row>
    <row r="33" spans="8:8" x14ac:dyDescent="0.2">
      <c r="H33" s="9" t="str">
        <v/>
      </c>
    </row>
    <row r="34" spans="8:8" x14ac:dyDescent="0.2">
      <c r="H34" s="9" t="str">
        <v/>
      </c>
    </row>
    <row r="35" spans="8:8" x14ac:dyDescent="0.2">
      <c r="H35" s="9" t="str">
        <v/>
      </c>
    </row>
    <row r="36" spans="8:8" x14ac:dyDescent="0.2">
      <c r="H36" s="9" t="str">
        <v/>
      </c>
    </row>
    <row r="37" spans="8:8" x14ac:dyDescent="0.2">
      <c r="H37" s="9" t="str">
        <v/>
      </c>
    </row>
    <row r="38" spans="8:8" x14ac:dyDescent="0.2">
      <c r="H38" s="9" t="str">
        <v/>
      </c>
    </row>
    <row r="39" spans="8:8" x14ac:dyDescent="0.2">
      <c r="H39" s="9" t="str">
        <v/>
      </c>
    </row>
    <row r="40" spans="8:8" x14ac:dyDescent="0.2">
      <c r="H40" s="9" t="str">
        <v/>
      </c>
    </row>
    <row r="41" spans="8:8" x14ac:dyDescent="0.2">
      <c r="H41" s="9" t="str">
        <v/>
      </c>
    </row>
    <row r="42" spans="8:8" x14ac:dyDescent="0.2">
      <c r="H42" s="9" t="str">
        <v/>
      </c>
    </row>
    <row r="43" spans="8:8" x14ac:dyDescent="0.2">
      <c r="H43" s="9" t="str">
        <v/>
      </c>
    </row>
    <row r="44" spans="8:8" x14ac:dyDescent="0.2">
      <c r="H44" s="9" t="str">
        <v/>
      </c>
    </row>
    <row r="45" spans="8:8" x14ac:dyDescent="0.2">
      <c r="H45" s="9" t="str">
        <v/>
      </c>
    </row>
    <row r="46" spans="8:8" x14ac:dyDescent="0.2">
      <c r="H46" s="9" t="str">
        <v/>
      </c>
    </row>
    <row r="47" spans="8:8" x14ac:dyDescent="0.2">
      <c r="H47" s="9" t="str">
        <v/>
      </c>
    </row>
    <row r="48" spans="8:8" x14ac:dyDescent="0.2">
      <c r="H48" s="9" t="str">
        <v/>
      </c>
    </row>
    <row r="49" spans="8:8" x14ac:dyDescent="0.2">
      <c r="H49" s="9" t="str">
        <v/>
      </c>
    </row>
    <row r="50" spans="8:8" x14ac:dyDescent="0.2">
      <c r="H50" s="9" t="str">
        <v/>
      </c>
    </row>
    <row r="51" spans="8:8" x14ac:dyDescent="0.2">
      <c r="H51" s="9" t="str">
        <v/>
      </c>
    </row>
    <row r="52" spans="8:8" x14ac:dyDescent="0.2">
      <c r="H52" s="9" t="str">
        <v/>
      </c>
    </row>
    <row r="53" spans="8:8" x14ac:dyDescent="0.2">
      <c r="H53" s="9" t="str">
        <v/>
      </c>
    </row>
    <row r="54" spans="8:8" x14ac:dyDescent="0.2">
      <c r="H54" s="9" t="str">
        <v/>
      </c>
    </row>
    <row r="55" spans="8:8" x14ac:dyDescent="0.2">
      <c r="H55" s="9" t="str">
        <v/>
      </c>
    </row>
    <row r="56" spans="8:8" x14ac:dyDescent="0.2">
      <c r="H56" s="9" t="str">
        <v/>
      </c>
    </row>
    <row r="57" spans="8:8" x14ac:dyDescent="0.2">
      <c r="H57" s="9" t="str">
        <v/>
      </c>
    </row>
    <row r="58" spans="8:8" x14ac:dyDescent="0.2">
      <c r="H58" s="9" t="str">
        <v/>
      </c>
    </row>
    <row r="59" spans="8:8" x14ac:dyDescent="0.2">
      <c r="H59" s="9" t="str">
        <v/>
      </c>
    </row>
    <row r="60" spans="8:8" x14ac:dyDescent="0.2">
      <c r="H60" s="9" t="str">
        <v/>
      </c>
    </row>
    <row r="61" spans="8:8" x14ac:dyDescent="0.2">
      <c r="H61" s="9" t="str">
        <v/>
      </c>
    </row>
    <row r="62" spans="8:8" x14ac:dyDescent="0.2">
      <c r="H62" s="9" t="str">
        <v/>
      </c>
    </row>
    <row r="63" spans="8:8" x14ac:dyDescent="0.2">
      <c r="H63" s="9" t="str">
        <v/>
      </c>
    </row>
    <row r="64" spans="8:8" x14ac:dyDescent="0.2">
      <c r="H64" s="9" t="str">
        <v/>
      </c>
    </row>
    <row r="65" spans="8:8" x14ac:dyDescent="0.2">
      <c r="H65" s="9" t="str">
        <v/>
      </c>
    </row>
    <row r="66" spans="8:8" x14ac:dyDescent="0.2">
      <c r="H66" s="9" t="str">
        <v/>
      </c>
    </row>
    <row r="67" spans="8:8" x14ac:dyDescent="0.2">
      <c r="H67" s="9" t="str">
        <v/>
      </c>
    </row>
    <row r="68" spans="8:8" x14ac:dyDescent="0.2">
      <c r="H68" s="9" t="str">
        <v/>
      </c>
    </row>
    <row r="69" spans="8:8" x14ac:dyDescent="0.2">
      <c r="H69" s="9" t="str">
        <v/>
      </c>
    </row>
    <row r="70" spans="8:8" x14ac:dyDescent="0.2">
      <c r="H70" s="9" t="str">
        <v/>
      </c>
    </row>
    <row r="71" spans="8:8" x14ac:dyDescent="0.2">
      <c r="H71" s="9" t="str">
        <v/>
      </c>
    </row>
    <row r="72" spans="8:8" x14ac:dyDescent="0.2">
      <c r="H72" s="9" t="str">
        <v/>
      </c>
    </row>
    <row r="73" spans="8:8" x14ac:dyDescent="0.2">
      <c r="H73" s="9" t="str">
        <v/>
      </c>
    </row>
    <row r="74" spans="8:8" x14ac:dyDescent="0.2">
      <c r="H74" s="9" t="str">
        <v/>
      </c>
    </row>
    <row r="75" spans="8:8" x14ac:dyDescent="0.2">
      <c r="H75" s="9" t="str">
        <v/>
      </c>
    </row>
    <row r="76" spans="8:8" x14ac:dyDescent="0.2">
      <c r="H76" s="9" t="str">
        <v/>
      </c>
    </row>
    <row r="77" spans="8:8" x14ac:dyDescent="0.2">
      <c r="H77" s="9" t="str">
        <v/>
      </c>
    </row>
    <row r="78" spans="8:8" x14ac:dyDescent="0.2">
      <c r="H78" s="9" t="str">
        <v/>
      </c>
    </row>
    <row r="79" spans="8:8" x14ac:dyDescent="0.2">
      <c r="H79" s="9" t="str">
        <v/>
      </c>
    </row>
    <row r="80" spans="8:8" x14ac:dyDescent="0.2">
      <c r="H80" s="9" t="str">
        <v/>
      </c>
    </row>
    <row r="81" spans="8:8" x14ac:dyDescent="0.2">
      <c r="H81" s="9" t="str">
        <v/>
      </c>
    </row>
    <row r="82" spans="8:8" x14ac:dyDescent="0.2">
      <c r="H82" s="9" t="str">
        <v/>
      </c>
    </row>
    <row r="83" spans="8:8" x14ac:dyDescent="0.2">
      <c r="H83" s="9" t="str">
        <v/>
      </c>
    </row>
    <row r="84" spans="8:8" x14ac:dyDescent="0.2">
      <c r="H84" s="9" t="str">
        <v/>
      </c>
    </row>
    <row r="85" spans="8:8" x14ac:dyDescent="0.2">
      <c r="H85" s="9" t="str">
        <v/>
      </c>
    </row>
    <row r="86" spans="8:8" x14ac:dyDescent="0.2">
      <c r="H86" s="9" t="str">
        <v/>
      </c>
    </row>
    <row r="87" spans="8:8" x14ac:dyDescent="0.2">
      <c r="H87" s="9" t="str">
        <v/>
      </c>
    </row>
    <row r="88" spans="8:8" x14ac:dyDescent="0.2">
      <c r="H88" s="9" t="str">
        <v/>
      </c>
    </row>
    <row r="89" spans="8:8" x14ac:dyDescent="0.2">
      <c r="H89" s="9" t="str">
        <v/>
      </c>
    </row>
    <row r="90" spans="8:8" x14ac:dyDescent="0.2">
      <c r="H90" s="9" t="str">
        <v/>
      </c>
    </row>
    <row r="91" spans="8:8" x14ac:dyDescent="0.2">
      <c r="H91" s="9" t="str">
        <v/>
      </c>
    </row>
    <row r="92" spans="8:8" x14ac:dyDescent="0.2">
      <c r="H92" s="9" t="str">
        <v/>
      </c>
    </row>
    <row r="93" spans="8:8" x14ac:dyDescent="0.2">
      <c r="H93" s="9" t="str">
        <v/>
      </c>
    </row>
    <row r="94" spans="8:8" x14ac:dyDescent="0.2">
      <c r="H94" s="9" t="str">
        <v/>
      </c>
    </row>
    <row r="95" spans="8:8" x14ac:dyDescent="0.2">
      <c r="H95" s="9" t="str">
        <v/>
      </c>
    </row>
    <row r="96" spans="8:8" x14ac:dyDescent="0.2">
      <c r="H96" s="9" t="str">
        <v/>
      </c>
    </row>
    <row r="97" spans="8:8" x14ac:dyDescent="0.2">
      <c r="H97" s="9" t="str">
        <v/>
      </c>
    </row>
    <row r="98" spans="8:8" x14ac:dyDescent="0.2">
      <c r="H98" s="9" t="str">
        <v/>
      </c>
    </row>
    <row r="99" spans="8:8" x14ac:dyDescent="0.2">
      <c r="H99" s="9" t="str">
        <v/>
      </c>
    </row>
    <row r="100" spans="8:8" x14ac:dyDescent="0.2">
      <c r="H100" s="9" t="str">
        <v/>
      </c>
    </row>
    <row r="101" spans="8:8" x14ac:dyDescent="0.2">
      <c r="H101" s="9" t="str">
        <v/>
      </c>
    </row>
    <row r="102" spans="8:8" x14ac:dyDescent="0.2">
      <c r="H102" s="9" t="str">
        <v/>
      </c>
    </row>
    <row r="103" spans="8:8" x14ac:dyDescent="0.2">
      <c r="H103" s="9" t="str">
        <v/>
      </c>
    </row>
    <row r="104" spans="8:8" x14ac:dyDescent="0.2">
      <c r="H104" s="9" t="str">
        <v/>
      </c>
    </row>
    <row r="105" spans="8:8" x14ac:dyDescent="0.2">
      <c r="H105" s="9" t="str">
        <v/>
      </c>
    </row>
    <row r="106" spans="8:8" x14ac:dyDescent="0.2">
      <c r="H106" s="9" t="str">
        <v/>
      </c>
    </row>
    <row r="107" spans="8:8" x14ac:dyDescent="0.2">
      <c r="H107" s="9" t="str">
        <v/>
      </c>
    </row>
    <row r="108" spans="8:8" x14ac:dyDescent="0.2">
      <c r="H108" s="9" t="str">
        <v/>
      </c>
    </row>
    <row r="109" spans="8:8" x14ac:dyDescent="0.2">
      <c r="H109" s="9" t="str">
        <v/>
      </c>
    </row>
    <row r="110" spans="8:8" x14ac:dyDescent="0.2">
      <c r="H110" s="9" t="str">
        <v/>
      </c>
    </row>
    <row r="111" spans="8:8" x14ac:dyDescent="0.2">
      <c r="H111" s="9" t="str">
        <v/>
      </c>
    </row>
    <row r="112" spans="8:8" x14ac:dyDescent="0.2">
      <c r="H112" s="9" t="str">
        <v/>
      </c>
    </row>
    <row r="113" spans="8:8" x14ac:dyDescent="0.2">
      <c r="H113" s="9" t="str">
        <v/>
      </c>
    </row>
    <row r="114" spans="8:8" x14ac:dyDescent="0.2">
      <c r="H114" s="9" t="str">
        <v/>
      </c>
    </row>
    <row r="115" spans="8:8" x14ac:dyDescent="0.2">
      <c r="H115" s="9" t="str">
        <v/>
      </c>
    </row>
    <row r="116" spans="8:8" x14ac:dyDescent="0.2">
      <c r="H116" s="9" t="str">
        <v/>
      </c>
    </row>
    <row r="117" spans="8:8" x14ac:dyDescent="0.2">
      <c r="H117" s="9" t="str">
        <v/>
      </c>
    </row>
    <row r="118" spans="8:8" x14ac:dyDescent="0.2">
      <c r="H118" s="9" t="str">
        <v/>
      </c>
    </row>
    <row r="119" spans="8:8" x14ac:dyDescent="0.2">
      <c r="H119" s="9" t="str">
        <v/>
      </c>
    </row>
    <row r="120" spans="8:8" x14ac:dyDescent="0.2">
      <c r="H120" s="9" t="str">
        <v/>
      </c>
    </row>
    <row r="121" spans="8:8" x14ac:dyDescent="0.2">
      <c r="H121" s="9" t="str">
        <v/>
      </c>
    </row>
    <row r="122" spans="8:8" x14ac:dyDescent="0.2">
      <c r="H122" s="9" t="str">
        <v/>
      </c>
    </row>
    <row r="123" spans="8:8" x14ac:dyDescent="0.2">
      <c r="H123" s="9" t="str">
        <v/>
      </c>
    </row>
    <row r="124" spans="8:8" x14ac:dyDescent="0.2">
      <c r="H124" s="9" t="str">
        <v/>
      </c>
    </row>
    <row r="125" spans="8:8" x14ac:dyDescent="0.2">
      <c r="H125" s="9" t="str">
        <v/>
      </c>
    </row>
    <row r="126" spans="8:8" x14ac:dyDescent="0.2">
      <c r="H126" s="9" t="str">
        <v/>
      </c>
    </row>
    <row r="127" spans="8:8" x14ac:dyDescent="0.2">
      <c r="H127" s="9" t="str">
        <v/>
      </c>
    </row>
    <row r="128" spans="8:8" x14ac:dyDescent="0.2">
      <c r="H128" s="9" t="str">
        <v/>
      </c>
    </row>
    <row r="129" spans="8:8" x14ac:dyDescent="0.2">
      <c r="H129" s="9" t="str">
        <v/>
      </c>
    </row>
    <row r="130" spans="8:8" x14ac:dyDescent="0.2">
      <c r="H130" s="9" t="str">
        <v/>
      </c>
    </row>
    <row r="131" spans="8:8" x14ac:dyDescent="0.2">
      <c r="H131" s="9" t="str">
        <v/>
      </c>
    </row>
    <row r="132" spans="8:8" x14ac:dyDescent="0.2">
      <c r="H132" s="9" t="str">
        <v/>
      </c>
    </row>
    <row r="133" spans="8:8" x14ac:dyDescent="0.2">
      <c r="H133" s="9" t="str">
        <v/>
      </c>
    </row>
    <row r="134" spans="8:8" x14ac:dyDescent="0.2">
      <c r="H134" s="9" t="str">
        <v/>
      </c>
    </row>
    <row r="135" spans="8:8" x14ac:dyDescent="0.2">
      <c r="H135" s="9" t="str">
        <v/>
      </c>
    </row>
    <row r="136" spans="8:8" x14ac:dyDescent="0.2">
      <c r="H136" s="9" t="str">
        <v/>
      </c>
    </row>
    <row r="137" spans="8:8" x14ac:dyDescent="0.2">
      <c r="H137" s="9" t="str">
        <v/>
      </c>
    </row>
    <row r="138" spans="8:8" x14ac:dyDescent="0.2">
      <c r="H138" s="9" t="str">
        <v/>
      </c>
    </row>
    <row r="139" spans="8:8" x14ac:dyDescent="0.2">
      <c r="H139" s="9" t="str">
        <v/>
      </c>
    </row>
    <row r="140" spans="8:8" x14ac:dyDescent="0.2">
      <c r="H140" s="9" t="str">
        <v/>
      </c>
    </row>
    <row r="141" spans="8:8" x14ac:dyDescent="0.2">
      <c r="H141" s="9" t="str">
        <v/>
      </c>
    </row>
    <row r="142" spans="8:8" x14ac:dyDescent="0.2">
      <c r="H142" s="9" t="str">
        <v/>
      </c>
    </row>
    <row r="143" spans="8:8" x14ac:dyDescent="0.2">
      <c r="H143" s="9" t="str">
        <v/>
      </c>
    </row>
    <row r="144" spans="8:8" x14ac:dyDescent="0.2">
      <c r="H144" s="9" t="str">
        <v/>
      </c>
    </row>
    <row r="145" spans="8:8" x14ac:dyDescent="0.2">
      <c r="H145" s="9" t="str">
        <v/>
      </c>
    </row>
    <row r="146" spans="8:8" x14ac:dyDescent="0.2">
      <c r="H146" s="9" t="str">
        <v/>
      </c>
    </row>
    <row r="147" spans="8:8" x14ac:dyDescent="0.2">
      <c r="H147" s="9" t="str">
        <v/>
      </c>
    </row>
    <row r="148" spans="8:8" x14ac:dyDescent="0.2">
      <c r="H148" s="9" t="str">
        <v/>
      </c>
    </row>
    <row r="149" spans="8:8" x14ac:dyDescent="0.2">
      <c r="H149" s="9" t="str">
        <v/>
      </c>
    </row>
    <row r="150" spans="8:8" x14ac:dyDescent="0.2">
      <c r="H150" s="9" t="str">
        <v/>
      </c>
    </row>
    <row r="151" spans="8:8" x14ac:dyDescent="0.2">
      <c r="H151" s="9" t="str">
        <v/>
      </c>
    </row>
    <row r="152" spans="8:8" x14ac:dyDescent="0.2">
      <c r="H152" s="9" t="str">
        <v/>
      </c>
    </row>
    <row r="153" spans="8:8" x14ac:dyDescent="0.2">
      <c r="H153" s="9" t="str">
        <v/>
      </c>
    </row>
    <row r="154" spans="8:8" x14ac:dyDescent="0.2">
      <c r="H154" s="9" t="str">
        <v/>
      </c>
    </row>
    <row r="155" spans="8:8" x14ac:dyDescent="0.2">
      <c r="H155" s="9" t="str">
        <v/>
      </c>
    </row>
    <row r="156" spans="8:8" x14ac:dyDescent="0.2">
      <c r="H156" s="9" t="str">
        <v/>
      </c>
    </row>
    <row r="157" spans="8:8" x14ac:dyDescent="0.2">
      <c r="H157" s="9" t="str">
        <v/>
      </c>
    </row>
    <row r="158" spans="8:8" x14ac:dyDescent="0.2">
      <c r="H158" s="9" t="str">
        <v/>
      </c>
    </row>
    <row r="159" spans="8:8" x14ac:dyDescent="0.2">
      <c r="H159" s="9" t="str">
        <v/>
      </c>
    </row>
    <row r="160" spans="8:8" x14ac:dyDescent="0.2">
      <c r="H160" s="9" t="str">
        <v/>
      </c>
    </row>
    <row r="161" spans="8:8" x14ac:dyDescent="0.2">
      <c r="H161" s="9" t="str">
        <v/>
      </c>
    </row>
    <row r="162" spans="8:8" x14ac:dyDescent="0.2">
      <c r="H162" s="9" t="str">
        <v/>
      </c>
    </row>
    <row r="163" spans="8:8" x14ac:dyDescent="0.2">
      <c r="H163" s="9" t="str">
        <v/>
      </c>
    </row>
    <row r="164" spans="8:8" x14ac:dyDescent="0.2">
      <c r="H164" s="9" t="str">
        <v/>
      </c>
    </row>
    <row r="165" spans="8:8" x14ac:dyDescent="0.2">
      <c r="H165" s="9" t="str">
        <v/>
      </c>
    </row>
    <row r="166" spans="8:8" x14ac:dyDescent="0.2">
      <c r="H166" s="9" t="str">
        <v/>
      </c>
    </row>
    <row r="167" spans="8:8" x14ac:dyDescent="0.2">
      <c r="H167" s="9" t="str">
        <v/>
      </c>
    </row>
    <row r="168" spans="8:8" x14ac:dyDescent="0.2">
      <c r="H168" s="9" t="str">
        <v/>
      </c>
    </row>
    <row r="169" spans="8:8" x14ac:dyDescent="0.2">
      <c r="H169" s="9" t="str">
        <v/>
      </c>
    </row>
    <row r="170" spans="8:8" x14ac:dyDescent="0.2">
      <c r="H170" s="9" t="str">
        <v/>
      </c>
    </row>
    <row r="171" spans="8:8" x14ac:dyDescent="0.2">
      <c r="H171" s="9" t="str">
        <v/>
      </c>
    </row>
    <row r="172" spans="8:8" x14ac:dyDescent="0.2">
      <c r="H172" s="9" t="str">
        <v/>
      </c>
    </row>
    <row r="173" spans="8:8" x14ac:dyDescent="0.2">
      <c r="H173" s="9" t="str">
        <v/>
      </c>
    </row>
    <row r="174" spans="8:8" x14ac:dyDescent="0.2">
      <c r="H174" s="9" t="str">
        <v/>
      </c>
    </row>
    <row r="175" spans="8:8" x14ac:dyDescent="0.2">
      <c r="H175" s="9" t="str">
        <v/>
      </c>
    </row>
    <row r="176" spans="8:8" x14ac:dyDescent="0.2">
      <c r="H176" s="9" t="str">
        <v/>
      </c>
    </row>
    <row r="177" spans="8:8" x14ac:dyDescent="0.2">
      <c r="H177" s="9" t="str">
        <v/>
      </c>
    </row>
    <row r="178" spans="8:8" x14ac:dyDescent="0.2">
      <c r="H178" s="9" t="str">
        <v/>
      </c>
    </row>
    <row r="179" spans="8:8" x14ac:dyDescent="0.2">
      <c r="H179" s="9" t="str">
        <v/>
      </c>
    </row>
    <row r="180" spans="8:8" x14ac:dyDescent="0.2">
      <c r="H180" s="9" t="str">
        <v/>
      </c>
    </row>
    <row r="181" spans="8:8" x14ac:dyDescent="0.2">
      <c r="H181" s="9" t="str">
        <v/>
      </c>
    </row>
    <row r="182" spans="8:8" x14ac:dyDescent="0.2">
      <c r="H182" s="9" t="str">
        <v/>
      </c>
    </row>
    <row r="183" spans="8:8" x14ac:dyDescent="0.2">
      <c r="H183" s="9" t="str">
        <v/>
      </c>
    </row>
    <row r="184" spans="8:8" x14ac:dyDescent="0.2">
      <c r="H184" s="9" t="str">
        <v/>
      </c>
    </row>
    <row r="185" spans="8:8" x14ac:dyDescent="0.2">
      <c r="H185" s="9" t="str">
        <v/>
      </c>
    </row>
    <row r="186" spans="8:8" x14ac:dyDescent="0.2">
      <c r="H186" s="9" t="str">
        <v/>
      </c>
    </row>
    <row r="187" spans="8:8" x14ac:dyDescent="0.2">
      <c r="H187" s="9" t="str">
        <v/>
      </c>
    </row>
    <row r="188" spans="8:8" x14ac:dyDescent="0.2">
      <c r="H188" s="9" t="str">
        <v/>
      </c>
    </row>
    <row r="189" spans="8:8" x14ac:dyDescent="0.2">
      <c r="H189" s="9" t="str">
        <v/>
      </c>
    </row>
    <row r="190" spans="8:8" x14ac:dyDescent="0.2">
      <c r="H190" s="9" t="str">
        <v/>
      </c>
    </row>
    <row r="191" spans="8:8" x14ac:dyDescent="0.2">
      <c r="H191" s="9" t="str">
        <v/>
      </c>
    </row>
    <row r="192" spans="8:8" x14ac:dyDescent="0.2">
      <c r="H192" s="9" t="str">
        <v/>
      </c>
    </row>
    <row r="193" spans="8:8" x14ac:dyDescent="0.2">
      <c r="H193" s="9" t="str">
        <v/>
      </c>
    </row>
    <row r="194" spans="8:8" x14ac:dyDescent="0.2">
      <c r="H194" s="9" t="str">
        <v/>
      </c>
    </row>
    <row r="195" spans="8:8" x14ac:dyDescent="0.2">
      <c r="H195" s="9" t="str">
        <v/>
      </c>
    </row>
    <row r="196" spans="8:8" x14ac:dyDescent="0.2">
      <c r="H196" s="9" t="str">
        <v/>
      </c>
    </row>
    <row r="197" spans="8:8" x14ac:dyDescent="0.2">
      <c r="H197" s="9" t="str">
        <v/>
      </c>
    </row>
    <row r="198" spans="8:8" x14ac:dyDescent="0.2">
      <c r="H198" s="9" t="str">
        <v/>
      </c>
    </row>
    <row r="199" spans="8:8" x14ac:dyDescent="0.2">
      <c r="H199" s="9" t="str">
        <v/>
      </c>
    </row>
    <row r="200" spans="8:8" x14ac:dyDescent="0.2">
      <c r="H200" s="9" t="str">
        <v/>
      </c>
    </row>
    <row r="201" spans="8:8" x14ac:dyDescent="0.2">
      <c r="H201" s="9" t="str">
        <v/>
      </c>
    </row>
    <row r="202" spans="8:8" x14ac:dyDescent="0.2">
      <c r="H202" s="9" t="str">
        <v/>
      </c>
    </row>
    <row r="203" spans="8:8" x14ac:dyDescent="0.2">
      <c r="H203" s="9" t="str">
        <v/>
      </c>
    </row>
    <row r="204" spans="8:8" x14ac:dyDescent="0.2">
      <c r="H204" s="9" t="str">
        <v/>
      </c>
    </row>
    <row r="205" spans="8:8" x14ac:dyDescent="0.2">
      <c r="H205" s="9" t="str">
        <v/>
      </c>
    </row>
    <row r="206" spans="8:8" x14ac:dyDescent="0.2">
      <c r="H206" s="9" t="str">
        <v/>
      </c>
    </row>
    <row r="207" spans="8:8" x14ac:dyDescent="0.2">
      <c r="H207" s="9" t="str">
        <v/>
      </c>
    </row>
    <row r="208" spans="8:8" x14ac:dyDescent="0.2">
      <c r="H208" s="9" t="str">
        <v/>
      </c>
    </row>
    <row r="209" spans="8:8" x14ac:dyDescent="0.2">
      <c r="H209" s="9" t="str">
        <v/>
      </c>
    </row>
    <row r="210" spans="8:8" x14ac:dyDescent="0.2">
      <c r="H210" s="9" t="str">
        <v/>
      </c>
    </row>
    <row r="211" spans="8:8" x14ac:dyDescent="0.2">
      <c r="H211" s="9" t="str">
        <v/>
      </c>
    </row>
    <row r="212" spans="8:8" x14ac:dyDescent="0.2">
      <c r="H212" s="9" t="str">
        <v/>
      </c>
    </row>
    <row r="213" spans="8:8" x14ac:dyDescent="0.2">
      <c r="H213" s="9" t="str">
        <v/>
      </c>
    </row>
    <row r="214" spans="8:8" x14ac:dyDescent="0.2">
      <c r="H214" s="9" t="str">
        <v/>
      </c>
    </row>
    <row r="215" spans="8:8" x14ac:dyDescent="0.2">
      <c r="H215" s="9" t="str">
        <v/>
      </c>
    </row>
    <row r="216" spans="8:8" x14ac:dyDescent="0.2">
      <c r="H216" s="9" t="str">
        <v/>
      </c>
    </row>
    <row r="217" spans="8:8" x14ac:dyDescent="0.2">
      <c r="H217" s="9" t="str">
        <v/>
      </c>
    </row>
    <row r="218" spans="8:8" x14ac:dyDescent="0.2">
      <c r="H218" s="9" t="str">
        <v/>
      </c>
    </row>
    <row r="219" spans="8:8" x14ac:dyDescent="0.2">
      <c r="H219" s="9" t="str">
        <v/>
      </c>
    </row>
    <row r="220" spans="8:8" x14ac:dyDescent="0.2">
      <c r="H220" s="9" t="str">
        <v/>
      </c>
    </row>
    <row r="221" spans="8:8" x14ac:dyDescent="0.2">
      <c r="H221" s="9" t="str">
        <v/>
      </c>
    </row>
    <row r="222" spans="8:8" x14ac:dyDescent="0.2">
      <c r="H222" s="9" t="str">
        <v/>
      </c>
    </row>
    <row r="223" spans="8:8" x14ac:dyDescent="0.2">
      <c r="H223" s="9" t="str">
        <v/>
      </c>
    </row>
    <row r="224" spans="8:8" x14ac:dyDescent="0.2">
      <c r="H224" s="9" t="str">
        <v/>
      </c>
    </row>
    <row r="225" spans="8:8" x14ac:dyDescent="0.2">
      <c r="H225" s="9" t="str">
        <v/>
      </c>
    </row>
    <row r="226" spans="8:8" x14ac:dyDescent="0.2">
      <c r="H226" s="9" t="str">
        <v/>
      </c>
    </row>
    <row r="227" spans="8:8" x14ac:dyDescent="0.2">
      <c r="H227" s="9" t="str">
        <v/>
      </c>
    </row>
    <row r="228" spans="8:8" x14ac:dyDescent="0.2">
      <c r="H228" s="9" t="str">
        <v/>
      </c>
    </row>
    <row r="229" spans="8:8" x14ac:dyDescent="0.2">
      <c r="H229" s="9" t="str">
        <v/>
      </c>
    </row>
    <row r="230" spans="8:8" x14ac:dyDescent="0.2">
      <c r="H230" s="9" t="str">
        <v/>
      </c>
    </row>
    <row r="231" spans="8:8" x14ac:dyDescent="0.2">
      <c r="H231" s="9" t="str">
        <v/>
      </c>
    </row>
    <row r="232" spans="8:8" x14ac:dyDescent="0.2">
      <c r="H232" s="9" t="str">
        <v/>
      </c>
    </row>
    <row r="233" spans="8:8" x14ac:dyDescent="0.2">
      <c r="H233" s="9" t="str">
        <v/>
      </c>
    </row>
    <row r="234" spans="8:8" x14ac:dyDescent="0.2">
      <c r="H234" s="9" t="str">
        <v/>
      </c>
    </row>
    <row r="235" spans="8:8" x14ac:dyDescent="0.2">
      <c r="H235" s="9" t="str">
        <v/>
      </c>
    </row>
    <row r="236" spans="8:8" x14ac:dyDescent="0.2">
      <c r="H236" s="9" t="str">
        <v/>
      </c>
    </row>
    <row r="237" spans="8:8" x14ac:dyDescent="0.2">
      <c r="H237" s="9" t="str">
        <v/>
      </c>
    </row>
    <row r="238" spans="8:8" x14ac:dyDescent="0.2">
      <c r="H238" s="9" t="str">
        <v/>
      </c>
    </row>
    <row r="239" spans="8:8" x14ac:dyDescent="0.2">
      <c r="H239" s="9" t="str">
        <v/>
      </c>
    </row>
    <row r="240" spans="8:8" x14ac:dyDescent="0.2">
      <c r="H240" s="9" t="str">
        <v/>
      </c>
    </row>
    <row r="241" spans="8:8" x14ac:dyDescent="0.2">
      <c r="H241" s="9" t="str">
        <v/>
      </c>
    </row>
    <row r="242" spans="8:8" x14ac:dyDescent="0.2">
      <c r="H242" s="9" t="str">
        <v/>
      </c>
    </row>
    <row r="243" spans="8:8" x14ac:dyDescent="0.2">
      <c r="H243" s="9" t="str">
        <v/>
      </c>
    </row>
    <row r="244" spans="8:8" x14ac:dyDescent="0.2">
      <c r="H244" s="9" t="str">
        <v/>
      </c>
    </row>
    <row r="245" spans="8:8" x14ac:dyDescent="0.2">
      <c r="H245" s="9" t="str">
        <v/>
      </c>
    </row>
    <row r="246" spans="8:8" x14ac:dyDescent="0.2">
      <c r="H246" s="9" t="str">
        <v/>
      </c>
    </row>
    <row r="247" spans="8:8" x14ac:dyDescent="0.2">
      <c r="H247" s="9" t="str">
        <v/>
      </c>
    </row>
    <row r="248" spans="8:8" x14ac:dyDescent="0.2">
      <c r="H248" s="9" t="str">
        <v/>
      </c>
    </row>
    <row r="249" spans="8:8" x14ac:dyDescent="0.2">
      <c r="H249" s="9" t="str">
        <v/>
      </c>
    </row>
    <row r="250" spans="8:8" x14ac:dyDescent="0.2">
      <c r="H250" s="9" t="str">
        <v/>
      </c>
    </row>
    <row r="251" spans="8:8" x14ac:dyDescent="0.2">
      <c r="H251" s="9" t="str">
        <v/>
      </c>
    </row>
    <row r="252" spans="8:8" x14ac:dyDescent="0.2">
      <c r="H252" s="9" t="str">
        <v/>
      </c>
    </row>
    <row r="253" spans="8:8" x14ac:dyDescent="0.2">
      <c r="H253" s="9" t="str">
        <v/>
      </c>
    </row>
    <row r="254" spans="8:8" x14ac:dyDescent="0.2">
      <c r="H254" s="9" t="str">
        <v/>
      </c>
    </row>
    <row r="255" spans="8:8" x14ac:dyDescent="0.2">
      <c r="H255" s="9" t="str">
        <v/>
      </c>
    </row>
    <row r="256" spans="8:8" x14ac:dyDescent="0.2">
      <c r="H256" s="9" t="str">
        <v/>
      </c>
    </row>
    <row r="257" spans="8:8" x14ac:dyDescent="0.2">
      <c r="H257" s="9" t="str">
        <v/>
      </c>
    </row>
    <row r="258" spans="8:8" x14ac:dyDescent="0.2">
      <c r="H258" s="9" t="str">
        <v/>
      </c>
    </row>
    <row r="259" spans="8:8" x14ac:dyDescent="0.2">
      <c r="H259" s="9" t="str">
        <v/>
      </c>
    </row>
    <row r="260" spans="8:8" x14ac:dyDescent="0.2">
      <c r="H260" s="9" t="str">
        <v/>
      </c>
    </row>
    <row r="261" spans="8:8" x14ac:dyDescent="0.2">
      <c r="H261" s="9" t="str">
        <v/>
      </c>
    </row>
    <row r="262" spans="8:8" x14ac:dyDescent="0.2">
      <c r="H262" s="9" t="str">
        <v/>
      </c>
    </row>
    <row r="263" spans="8:8" x14ac:dyDescent="0.2">
      <c r="H263" s="9" t="str">
        <v/>
      </c>
    </row>
    <row r="264" spans="8:8" x14ac:dyDescent="0.2">
      <c r="H264" s="9" t="str">
        <v/>
      </c>
    </row>
    <row r="265" spans="8:8" x14ac:dyDescent="0.2">
      <c r="H265" s="9" t="str">
        <v/>
      </c>
    </row>
    <row r="266" spans="8:8" x14ac:dyDescent="0.2">
      <c r="H266" s="9" t="str">
        <v/>
      </c>
    </row>
    <row r="267" spans="8:8" x14ac:dyDescent="0.2">
      <c r="H267" s="9" t="str">
        <v/>
      </c>
    </row>
    <row r="268" spans="8:8" x14ac:dyDescent="0.2">
      <c r="H268" s="9" t="str">
        <v/>
      </c>
    </row>
    <row r="269" spans="8:8" x14ac:dyDescent="0.2">
      <c r="H269" s="9" t="str">
        <v/>
      </c>
    </row>
    <row r="270" spans="8:8" x14ac:dyDescent="0.2">
      <c r="H270" s="9" t="str">
        <v/>
      </c>
    </row>
    <row r="271" spans="8:8" x14ac:dyDescent="0.2">
      <c r="H271" s="9" t="str">
        <v/>
      </c>
    </row>
    <row r="272" spans="8:8" x14ac:dyDescent="0.2">
      <c r="H272" s="9" t="str">
        <v/>
      </c>
    </row>
    <row r="273" spans="8:8" x14ac:dyDescent="0.2">
      <c r="H273" s="9" t="str">
        <v/>
      </c>
    </row>
    <row r="274" spans="8:8" x14ac:dyDescent="0.2">
      <c r="H274" s="9" t="str">
        <v/>
      </c>
    </row>
    <row r="275" spans="8:8" x14ac:dyDescent="0.2">
      <c r="H275" s="9" t="str">
        <v/>
      </c>
    </row>
    <row r="276" spans="8:8" x14ac:dyDescent="0.2">
      <c r="H276" s="9" t="str">
        <v/>
      </c>
    </row>
    <row r="277" spans="8:8" x14ac:dyDescent="0.2">
      <c r="H277" s="9" t="str">
        <v/>
      </c>
    </row>
    <row r="278" spans="8:8" x14ac:dyDescent="0.2">
      <c r="H278" s="9" t="str">
        <v/>
      </c>
    </row>
    <row r="279" spans="8:8" x14ac:dyDescent="0.2">
      <c r="H279" s="9" t="str">
        <v/>
      </c>
    </row>
    <row r="280" spans="8:8" x14ac:dyDescent="0.2">
      <c r="H280" s="9" t="str">
        <v/>
      </c>
    </row>
    <row r="281" spans="8:8" x14ac:dyDescent="0.2">
      <c r="H281" s="9" t="str">
        <v/>
      </c>
    </row>
    <row r="282" spans="8:8" x14ac:dyDescent="0.2">
      <c r="H282" s="9" t="str">
        <v/>
      </c>
    </row>
    <row r="283" spans="8:8" x14ac:dyDescent="0.2">
      <c r="H283" s="9" t="str">
        <v/>
      </c>
    </row>
    <row r="284" spans="8:8" x14ac:dyDescent="0.2">
      <c r="H284" s="9" t="str">
        <v/>
      </c>
    </row>
    <row r="285" spans="8:8" x14ac:dyDescent="0.2">
      <c r="H285" s="9" t="str">
        <v/>
      </c>
    </row>
    <row r="286" spans="8:8" x14ac:dyDescent="0.2">
      <c r="H286" s="9" t="str">
        <v/>
      </c>
    </row>
    <row r="287" spans="8:8" x14ac:dyDescent="0.2">
      <c r="H287" s="9" t="str">
        <v/>
      </c>
    </row>
    <row r="288" spans="8:8" x14ac:dyDescent="0.2">
      <c r="H288" s="9" t="str">
        <v/>
      </c>
    </row>
    <row r="289" spans="8:8" x14ac:dyDescent="0.2">
      <c r="H289" s="9" t="str">
        <v/>
      </c>
    </row>
    <row r="290" spans="8:8" x14ac:dyDescent="0.2">
      <c r="H290" s="9" t="str">
        <v/>
      </c>
    </row>
    <row r="291" spans="8:8" x14ac:dyDescent="0.2">
      <c r="H291" s="9" t="str">
        <v/>
      </c>
    </row>
    <row r="292" spans="8:8" x14ac:dyDescent="0.2">
      <c r="H292" s="9" t="str">
        <v/>
      </c>
    </row>
    <row r="293" spans="8:8" x14ac:dyDescent="0.2">
      <c r="H293" s="9" t="str">
        <v/>
      </c>
    </row>
    <row r="294" spans="8:8" x14ac:dyDescent="0.2">
      <c r="H294" s="9" t="str">
        <v/>
      </c>
    </row>
    <row r="295" spans="8:8" x14ac:dyDescent="0.2">
      <c r="H295" s="9" t="str">
        <v/>
      </c>
    </row>
    <row r="296" spans="8:8" x14ac:dyDescent="0.2">
      <c r="H296" s="9" t="str">
        <v/>
      </c>
    </row>
    <row r="297" spans="8:8" x14ac:dyDescent="0.2">
      <c r="H297" s="9" t="str">
        <v/>
      </c>
    </row>
    <row r="298" spans="8:8" x14ac:dyDescent="0.2">
      <c r="H298" s="9" t="str">
        <v/>
      </c>
    </row>
    <row r="299" spans="8:8" x14ac:dyDescent="0.2">
      <c r="H299" s="9" t="str">
        <v/>
      </c>
    </row>
    <row r="300" spans="8:8" x14ac:dyDescent="0.2">
      <c r="H300" s="9" t="str">
        <v/>
      </c>
    </row>
    <row r="301" spans="8:8" x14ac:dyDescent="0.2">
      <c r="H301" s="9" t="str">
        <v/>
      </c>
    </row>
    <row r="302" spans="8:8" x14ac:dyDescent="0.2">
      <c r="H302" s="9" t="str">
        <v/>
      </c>
    </row>
    <row r="303" spans="8:8" x14ac:dyDescent="0.2">
      <c r="H303" s="9" t="str">
        <v/>
      </c>
    </row>
    <row r="304" spans="8:8" x14ac:dyDescent="0.2">
      <c r="H304" s="9" t="str">
        <v/>
      </c>
    </row>
    <row r="305" spans="8:8" x14ac:dyDescent="0.2">
      <c r="H305" s="9" t="str">
        <v/>
      </c>
    </row>
    <row r="306" spans="8:8" x14ac:dyDescent="0.2">
      <c r="H306" s="9" t="str">
        <v/>
      </c>
    </row>
    <row r="307" spans="8:8" x14ac:dyDescent="0.2">
      <c r="H307" s="9" t="str">
        <v/>
      </c>
    </row>
    <row r="308" spans="8:8" x14ac:dyDescent="0.2">
      <c r="H308" s="9" t="str">
        <v/>
      </c>
    </row>
    <row r="309" spans="8:8" x14ac:dyDescent="0.2">
      <c r="H309" s="9" t="str">
        <v/>
      </c>
    </row>
    <row r="310" spans="8:8" x14ac:dyDescent="0.2">
      <c r="H310" s="9" t="str">
        <v/>
      </c>
    </row>
    <row r="311" spans="8:8" x14ac:dyDescent="0.2">
      <c r="H311" s="9" t="str">
        <v/>
      </c>
    </row>
    <row r="312" spans="8:8" x14ac:dyDescent="0.2">
      <c r="H312" s="9" t="str">
        <v/>
      </c>
    </row>
    <row r="313" spans="8:8" x14ac:dyDescent="0.2">
      <c r="H313" s="9" t="str">
        <v/>
      </c>
    </row>
    <row r="314" spans="8:8" x14ac:dyDescent="0.2">
      <c r="H314" s="9" t="str">
        <v/>
      </c>
    </row>
    <row r="315" spans="8:8" x14ac:dyDescent="0.2">
      <c r="H315" s="9" t="str">
        <v/>
      </c>
    </row>
    <row r="316" spans="8:8" x14ac:dyDescent="0.2">
      <c r="H316" s="9" t="str">
        <v/>
      </c>
    </row>
    <row r="317" spans="8:8" x14ac:dyDescent="0.2">
      <c r="H317" s="9" t="str">
        <v/>
      </c>
    </row>
    <row r="318" spans="8:8" x14ac:dyDescent="0.2">
      <c r="H318" s="9" t="str">
        <v/>
      </c>
    </row>
    <row r="319" spans="8:8" x14ac:dyDescent="0.2">
      <c r="H319" s="9" t="str">
        <v/>
      </c>
    </row>
    <row r="320" spans="8:8" x14ac:dyDescent="0.2">
      <c r="H320" s="9" t="str">
        <v/>
      </c>
    </row>
    <row r="321" spans="8:8" x14ac:dyDescent="0.2">
      <c r="H321" s="9" t="str">
        <v/>
      </c>
    </row>
    <row r="322" spans="8:8" x14ac:dyDescent="0.2">
      <c r="H322" s="9" t="str">
        <v/>
      </c>
    </row>
    <row r="323" spans="8:8" x14ac:dyDescent="0.2">
      <c r="H323" s="9" t="str">
        <v/>
      </c>
    </row>
    <row r="324" spans="8:8" x14ac:dyDescent="0.2">
      <c r="H324" s="9" t="str">
        <v/>
      </c>
    </row>
    <row r="325" spans="8:8" x14ac:dyDescent="0.2">
      <c r="H325" s="9" t="str">
        <v/>
      </c>
    </row>
    <row r="326" spans="8:8" x14ac:dyDescent="0.2">
      <c r="H326" s="9" t="str">
        <v/>
      </c>
    </row>
    <row r="327" spans="8:8" x14ac:dyDescent="0.2">
      <c r="H327" s="9" t="str">
        <v/>
      </c>
    </row>
    <row r="328" spans="8:8" x14ac:dyDescent="0.2">
      <c r="H328" s="9" t="str">
        <v/>
      </c>
    </row>
    <row r="329" spans="8:8" x14ac:dyDescent="0.2">
      <c r="H329" s="9" t="str">
        <v/>
      </c>
    </row>
    <row r="330" spans="8:8" x14ac:dyDescent="0.2">
      <c r="H330" s="9" t="str">
        <v/>
      </c>
    </row>
    <row r="331" spans="8:8" x14ac:dyDescent="0.2">
      <c r="H331" s="9" t="str">
        <v/>
      </c>
    </row>
    <row r="332" spans="8:8" x14ac:dyDescent="0.2">
      <c r="H332" s="9" t="str">
        <v/>
      </c>
    </row>
    <row r="333" spans="8:8" x14ac:dyDescent="0.2">
      <c r="H333" s="9" t="str">
        <v/>
      </c>
    </row>
    <row r="334" spans="8:8" x14ac:dyDescent="0.2">
      <c r="H334" s="9" t="str">
        <v/>
      </c>
    </row>
    <row r="335" spans="8:8" x14ac:dyDescent="0.2">
      <c r="H335" s="9" t="str">
        <v/>
      </c>
    </row>
    <row r="336" spans="8:8" x14ac:dyDescent="0.2">
      <c r="H336" s="9" t="str">
        <v/>
      </c>
    </row>
    <row r="337" spans="8:8" x14ac:dyDescent="0.2">
      <c r="H337" s="9" t="str">
        <v/>
      </c>
    </row>
    <row r="338" spans="8:8" x14ac:dyDescent="0.2">
      <c r="H338" s="9" t="str">
        <v/>
      </c>
    </row>
    <row r="339" spans="8:8" x14ac:dyDescent="0.2">
      <c r="H339" s="9" t="str">
        <v/>
      </c>
    </row>
    <row r="340" spans="8:8" x14ac:dyDescent="0.2">
      <c r="H340" s="9" t="str">
        <v/>
      </c>
    </row>
    <row r="341" spans="8:8" x14ac:dyDescent="0.2">
      <c r="H341" s="9" t="str">
        <v/>
      </c>
    </row>
    <row r="342" spans="8:8" x14ac:dyDescent="0.2">
      <c r="H342" s="9" t="str">
        <v/>
      </c>
    </row>
    <row r="343" spans="8:8" x14ac:dyDescent="0.2">
      <c r="H343" s="9" t="str">
        <v/>
      </c>
    </row>
    <row r="344" spans="8:8" x14ac:dyDescent="0.2">
      <c r="H344" s="9" t="str">
        <v/>
      </c>
    </row>
    <row r="345" spans="8:8" x14ac:dyDescent="0.2">
      <c r="H345" s="9" t="str">
        <v/>
      </c>
    </row>
    <row r="346" spans="8:8" x14ac:dyDescent="0.2">
      <c r="H346" s="9" t="str">
        <v/>
      </c>
    </row>
    <row r="347" spans="8:8" x14ac:dyDescent="0.2">
      <c r="H347" s="9" t="str">
        <v/>
      </c>
    </row>
    <row r="348" spans="8:8" x14ac:dyDescent="0.2">
      <c r="H348" s="9" t="str">
        <v/>
      </c>
    </row>
    <row r="349" spans="8:8" x14ac:dyDescent="0.2">
      <c r="H349" s="9" t="str">
        <v/>
      </c>
    </row>
    <row r="350" spans="8:8" x14ac:dyDescent="0.2">
      <c r="H350" s="9" t="str">
        <v/>
      </c>
    </row>
    <row r="351" spans="8:8" x14ac:dyDescent="0.2">
      <c r="H351" s="9" t="str">
        <v/>
      </c>
    </row>
    <row r="352" spans="8:8" x14ac:dyDescent="0.2">
      <c r="H352" s="9" t="str">
        <v/>
      </c>
    </row>
    <row r="353" spans="8:8" x14ac:dyDescent="0.2">
      <c r="H353" s="9" t="str">
        <v/>
      </c>
    </row>
    <row r="354" spans="8:8" x14ac:dyDescent="0.2">
      <c r="H354" s="9" t="str">
        <v/>
      </c>
    </row>
    <row r="355" spans="8:8" x14ac:dyDescent="0.2">
      <c r="H355" s="9" t="str">
        <v/>
      </c>
    </row>
    <row r="356" spans="8:8" x14ac:dyDescent="0.2">
      <c r="H356" s="9" t="str">
        <v/>
      </c>
    </row>
    <row r="357" spans="8:8" x14ac:dyDescent="0.2">
      <c r="H357" s="9" t="str">
        <v/>
      </c>
    </row>
    <row r="358" spans="8:8" x14ac:dyDescent="0.2">
      <c r="H358" s="9" t="str">
        <v/>
      </c>
    </row>
    <row r="359" spans="8:8" x14ac:dyDescent="0.2">
      <c r="H359" s="9" t="str">
        <v/>
      </c>
    </row>
    <row r="360" spans="8:8" x14ac:dyDescent="0.2">
      <c r="H360" s="9" t="str">
        <v/>
      </c>
    </row>
    <row r="361" spans="8:8" x14ac:dyDescent="0.2">
      <c r="H361" s="9" t="str">
        <v/>
      </c>
    </row>
    <row r="362" spans="8:8" x14ac:dyDescent="0.2">
      <c r="H362" s="9" t="str">
        <v/>
      </c>
    </row>
    <row r="363" spans="8:8" x14ac:dyDescent="0.2">
      <c r="H363" s="9" t="str">
        <v/>
      </c>
    </row>
    <row r="364" spans="8:8" x14ac:dyDescent="0.2">
      <c r="H364" s="9" t="str">
        <v/>
      </c>
    </row>
    <row r="365" spans="8:8" x14ac:dyDescent="0.2">
      <c r="H365" s="9" t="str">
        <v/>
      </c>
    </row>
    <row r="366" spans="8:8" x14ac:dyDescent="0.2">
      <c r="H366" s="9" t="str">
        <v/>
      </c>
    </row>
    <row r="367" spans="8:8" x14ac:dyDescent="0.2">
      <c r="H367" s="9" t="str">
        <v/>
      </c>
    </row>
    <row r="368" spans="8:8" x14ac:dyDescent="0.2">
      <c r="H368" s="9" t="str">
        <v/>
      </c>
    </row>
    <row r="369" spans="8:8" x14ac:dyDescent="0.2">
      <c r="H369" s="9" t="str">
        <v/>
      </c>
    </row>
    <row r="370" spans="8:8" x14ac:dyDescent="0.2">
      <c r="H370" s="9" t="str">
        <v/>
      </c>
    </row>
    <row r="371" spans="8:8" x14ac:dyDescent="0.2">
      <c r="H371" s="9" t="str">
        <v/>
      </c>
    </row>
    <row r="372" spans="8:8" x14ac:dyDescent="0.2">
      <c r="H372" s="9" t="str">
        <v/>
      </c>
    </row>
    <row r="373" spans="8:8" x14ac:dyDescent="0.2">
      <c r="H373" s="9" t="str">
        <v/>
      </c>
    </row>
    <row r="374" spans="8:8" x14ac:dyDescent="0.2">
      <c r="H374" s="9" t="str">
        <v/>
      </c>
    </row>
    <row r="375" spans="8:8" x14ac:dyDescent="0.2">
      <c r="H375" s="9" t="str">
        <v/>
      </c>
    </row>
    <row r="376" spans="8:8" x14ac:dyDescent="0.2">
      <c r="H376" s="9" t="str">
        <v/>
      </c>
    </row>
    <row r="377" spans="8:8" x14ac:dyDescent="0.2">
      <c r="H377" s="9" t="str">
        <v/>
      </c>
    </row>
    <row r="378" spans="8:8" x14ac:dyDescent="0.2">
      <c r="H378" s="9" t="str">
        <v/>
      </c>
    </row>
    <row r="379" spans="8:8" x14ac:dyDescent="0.2">
      <c r="H379" s="9" t="str">
        <v/>
      </c>
    </row>
    <row r="380" spans="8:8" x14ac:dyDescent="0.2">
      <c r="H380" s="9" t="str">
        <v/>
      </c>
    </row>
    <row r="381" spans="8:8" x14ac:dyDescent="0.2">
      <c r="H381" s="9" t="str">
        <v/>
      </c>
    </row>
    <row r="382" spans="8:8" x14ac:dyDescent="0.2">
      <c r="H382" s="9" t="str">
        <v/>
      </c>
    </row>
    <row r="383" spans="8:8" x14ac:dyDescent="0.2">
      <c r="H383" s="9" t="str">
        <v/>
      </c>
    </row>
    <row r="384" spans="8:8" x14ac:dyDescent="0.2">
      <c r="H384" s="9" t="str">
        <v/>
      </c>
    </row>
    <row r="385" spans="8:8" x14ac:dyDescent="0.2">
      <c r="H385" s="9" t="str">
        <v/>
      </c>
    </row>
    <row r="386" spans="8:8" x14ac:dyDescent="0.2">
      <c r="H386" s="9" t="str">
        <v/>
      </c>
    </row>
    <row r="387" spans="8:8" x14ac:dyDescent="0.2">
      <c r="H387" s="9" t="str">
        <v/>
      </c>
    </row>
    <row r="388" spans="8:8" x14ac:dyDescent="0.2">
      <c r="H388" s="9" t="str">
        <v/>
      </c>
    </row>
    <row r="389" spans="8:8" x14ac:dyDescent="0.2">
      <c r="H389" s="9" t="str">
        <v/>
      </c>
    </row>
    <row r="390" spans="8:8" x14ac:dyDescent="0.2">
      <c r="H390" s="9" t="str">
        <v/>
      </c>
    </row>
    <row r="391" spans="8:8" x14ac:dyDescent="0.2">
      <c r="H391" s="9" t="str">
        <v/>
      </c>
    </row>
    <row r="392" spans="8:8" x14ac:dyDescent="0.2">
      <c r="H392" s="9" t="str">
        <v/>
      </c>
    </row>
    <row r="393" spans="8:8" x14ac:dyDescent="0.2">
      <c r="H393" s="9" t="str">
        <v/>
      </c>
    </row>
    <row r="394" spans="8:8" x14ac:dyDescent="0.2">
      <c r="H394" s="9" t="str">
        <v/>
      </c>
    </row>
    <row r="395" spans="8:8" x14ac:dyDescent="0.2">
      <c r="H395" s="9" t="str">
        <v/>
      </c>
    </row>
    <row r="396" spans="8:8" x14ac:dyDescent="0.2">
      <c r="H396" s="9" t="str">
        <v/>
      </c>
    </row>
    <row r="397" spans="8:8" x14ac:dyDescent="0.2">
      <c r="H397" s="9" t="str">
        <v/>
      </c>
    </row>
    <row r="398" spans="8:8" x14ac:dyDescent="0.2">
      <c r="H398" s="9" t="str">
        <v/>
      </c>
    </row>
    <row r="399" spans="8:8" x14ac:dyDescent="0.2">
      <c r="H399" s="9" t="str">
        <v/>
      </c>
    </row>
    <row r="400" spans="8:8" x14ac:dyDescent="0.2">
      <c r="H400" s="9" t="str">
        <v/>
      </c>
    </row>
    <row r="401" spans="8:8" x14ac:dyDescent="0.2">
      <c r="H401" s="9" t="str">
        <v/>
      </c>
    </row>
    <row r="402" spans="8:8" x14ac:dyDescent="0.2">
      <c r="H402" s="9" t="str">
        <v/>
      </c>
    </row>
    <row r="403" spans="8:8" x14ac:dyDescent="0.2">
      <c r="H403" s="9" t="str">
        <v/>
      </c>
    </row>
    <row r="404" spans="8:8" x14ac:dyDescent="0.2">
      <c r="H404" s="9" t="str">
        <v/>
      </c>
    </row>
    <row r="405" spans="8:8" x14ac:dyDescent="0.2">
      <c r="H405" s="9" t="str">
        <v/>
      </c>
    </row>
    <row r="406" spans="8:8" x14ac:dyDescent="0.2">
      <c r="H406" s="9" t="str">
        <v/>
      </c>
    </row>
    <row r="407" spans="8:8" x14ac:dyDescent="0.2">
      <c r="H407" s="9" t="str">
        <v/>
      </c>
    </row>
    <row r="408" spans="8:8" x14ac:dyDescent="0.2">
      <c r="H408" s="9" t="str">
        <v/>
      </c>
    </row>
    <row r="409" spans="8:8" x14ac:dyDescent="0.2">
      <c r="H409" s="9" t="str">
        <v/>
      </c>
    </row>
    <row r="410" spans="8:8" x14ac:dyDescent="0.2">
      <c r="H410" s="9" t="str">
        <v/>
      </c>
    </row>
    <row r="411" spans="8:8" x14ac:dyDescent="0.2">
      <c r="H411" s="9" t="str">
        <v/>
      </c>
    </row>
    <row r="412" spans="8:8" x14ac:dyDescent="0.2">
      <c r="H412" s="9" t="str">
        <v/>
      </c>
    </row>
    <row r="413" spans="8:8" x14ac:dyDescent="0.2">
      <c r="H413" s="9" t="str">
        <v/>
      </c>
    </row>
    <row r="414" spans="8:8" x14ac:dyDescent="0.2">
      <c r="H414" s="9" t="str">
        <v/>
      </c>
    </row>
    <row r="415" spans="8:8" x14ac:dyDescent="0.2">
      <c r="H415" s="9" t="str">
        <v/>
      </c>
    </row>
    <row r="416" spans="8:8" x14ac:dyDescent="0.2">
      <c r="H416" s="9" t="str">
        <v/>
      </c>
    </row>
    <row r="417" spans="8:8" x14ac:dyDescent="0.2">
      <c r="H417" s="9" t="str">
        <v/>
      </c>
    </row>
    <row r="418" spans="8:8" x14ac:dyDescent="0.2">
      <c r="H418" s="9" t="str">
        <v/>
      </c>
    </row>
    <row r="419" spans="8:8" x14ac:dyDescent="0.2">
      <c r="H419" s="9" t="str">
        <v/>
      </c>
    </row>
    <row r="420" spans="8:8" x14ac:dyDescent="0.2">
      <c r="H420" s="9" t="str">
        <v/>
      </c>
    </row>
    <row r="421" spans="8:8" x14ac:dyDescent="0.2">
      <c r="H421" s="9" t="str">
        <v/>
      </c>
    </row>
    <row r="422" spans="8:8" x14ac:dyDescent="0.2">
      <c r="H422" s="9" t="str">
        <v/>
      </c>
    </row>
    <row r="423" spans="8:8" x14ac:dyDescent="0.2">
      <c r="H423" s="9" t="str">
        <v/>
      </c>
    </row>
    <row r="424" spans="8:8" x14ac:dyDescent="0.2">
      <c r="H424" s="9" t="str">
        <v/>
      </c>
    </row>
    <row r="425" spans="8:8" x14ac:dyDescent="0.2">
      <c r="H425" s="9" t="str">
        <v/>
      </c>
    </row>
    <row r="426" spans="8:8" x14ac:dyDescent="0.2">
      <c r="H426" s="9" t="str">
        <v/>
      </c>
    </row>
    <row r="427" spans="8:8" x14ac:dyDescent="0.2">
      <c r="H427" s="9" t="str">
        <v/>
      </c>
    </row>
    <row r="428" spans="8:8" x14ac:dyDescent="0.2">
      <c r="H428" s="9" t="str">
        <v/>
      </c>
    </row>
    <row r="429" spans="8:8" x14ac:dyDescent="0.2">
      <c r="H429" s="9" t="str">
        <v/>
      </c>
    </row>
    <row r="430" spans="8:8" x14ac:dyDescent="0.2">
      <c r="H430" s="9" t="str">
        <v/>
      </c>
    </row>
    <row r="431" spans="8:8" x14ac:dyDescent="0.2">
      <c r="H431" s="9" t="str">
        <v/>
      </c>
    </row>
    <row r="432" spans="8:8" x14ac:dyDescent="0.2">
      <c r="H432" s="9" t="str">
        <v/>
      </c>
    </row>
    <row r="433" spans="8:8" x14ac:dyDescent="0.2">
      <c r="H433" s="9" t="str">
        <v/>
      </c>
    </row>
    <row r="434" spans="8:8" x14ac:dyDescent="0.2">
      <c r="H434" s="9" t="str">
        <v/>
      </c>
    </row>
    <row r="435" spans="8:8" x14ac:dyDescent="0.2">
      <c r="H435" s="9" t="str">
        <v/>
      </c>
    </row>
    <row r="436" spans="8:8" x14ac:dyDescent="0.2">
      <c r="H436" s="9" t="str">
        <v/>
      </c>
    </row>
    <row r="437" spans="8:8" x14ac:dyDescent="0.2">
      <c r="H437" s="9" t="str">
        <v/>
      </c>
    </row>
    <row r="438" spans="8:8" x14ac:dyDescent="0.2">
      <c r="H438" s="9" t="str">
        <v/>
      </c>
    </row>
    <row r="439" spans="8:8" x14ac:dyDescent="0.2">
      <c r="H439" s="9" t="str">
        <v/>
      </c>
    </row>
    <row r="440" spans="8:8" x14ac:dyDescent="0.2">
      <c r="H440" s="9" t="str">
        <v/>
      </c>
    </row>
    <row r="441" spans="8:8" x14ac:dyDescent="0.2">
      <c r="H441" s="9" t="str">
        <v/>
      </c>
    </row>
    <row r="442" spans="8:8" x14ac:dyDescent="0.2">
      <c r="H442" s="9" t="str">
        <v/>
      </c>
    </row>
    <row r="443" spans="8:8" x14ac:dyDescent="0.2">
      <c r="H443" s="9" t="str">
        <v/>
      </c>
    </row>
    <row r="444" spans="8:8" x14ac:dyDescent="0.2">
      <c r="H444" s="9" t="str">
        <v/>
      </c>
    </row>
    <row r="445" spans="8:8" x14ac:dyDescent="0.2">
      <c r="H445" s="9" t="str">
        <v/>
      </c>
    </row>
    <row r="446" spans="8:8" x14ac:dyDescent="0.2">
      <c r="H446" s="9" t="str">
        <v/>
      </c>
    </row>
    <row r="447" spans="8:8" x14ac:dyDescent="0.2">
      <c r="H447" s="9" t="str">
        <v/>
      </c>
    </row>
    <row r="448" spans="8:8" x14ac:dyDescent="0.2">
      <c r="H448" s="9" t="str">
        <v/>
      </c>
    </row>
    <row r="449" spans="8:8" x14ac:dyDescent="0.2">
      <c r="H449" s="9" t="str">
        <v/>
      </c>
    </row>
    <row r="450" spans="8:8" x14ac:dyDescent="0.2">
      <c r="H450" s="9" t="str">
        <v/>
      </c>
    </row>
    <row r="451" spans="8:8" x14ac:dyDescent="0.2">
      <c r="H451" s="9" t="str">
        <v/>
      </c>
    </row>
    <row r="452" spans="8:8" x14ac:dyDescent="0.2">
      <c r="H452" s="9" t="str">
        <v/>
      </c>
    </row>
    <row r="453" spans="8:8" x14ac:dyDescent="0.2">
      <c r="H453" s="9" t="str">
        <v/>
      </c>
    </row>
    <row r="454" spans="8:8" x14ac:dyDescent="0.2">
      <c r="H454" s="9" t="str">
        <v/>
      </c>
    </row>
    <row r="455" spans="8:8" x14ac:dyDescent="0.2">
      <c r="H455" s="9" t="str">
        <v/>
      </c>
    </row>
    <row r="456" spans="8:8" x14ac:dyDescent="0.2">
      <c r="H456" s="9" t="str">
        <v/>
      </c>
    </row>
    <row r="457" spans="8:8" x14ac:dyDescent="0.2">
      <c r="H457" s="9" t="str">
        <v/>
      </c>
    </row>
    <row r="458" spans="8:8" x14ac:dyDescent="0.2">
      <c r="H458" s="9" t="str">
        <v/>
      </c>
    </row>
    <row r="459" spans="8:8" x14ac:dyDescent="0.2">
      <c r="H459" s="9" t="str">
        <v/>
      </c>
    </row>
    <row r="460" spans="8:8" x14ac:dyDescent="0.2">
      <c r="H460" s="9" t="str">
        <v/>
      </c>
    </row>
    <row r="461" spans="8:8" x14ac:dyDescent="0.2">
      <c r="H461" s="9" t="str">
        <v/>
      </c>
    </row>
    <row r="462" spans="8:8" x14ac:dyDescent="0.2">
      <c r="H462" s="9" t="str">
        <v/>
      </c>
    </row>
    <row r="463" spans="8:8" x14ac:dyDescent="0.2">
      <c r="H463" s="9" t="str">
        <v/>
      </c>
    </row>
    <row r="464" spans="8:8" x14ac:dyDescent="0.2">
      <c r="H464" s="9" t="str">
        <v/>
      </c>
    </row>
    <row r="465" spans="8:8" x14ac:dyDescent="0.2">
      <c r="H465" s="9" t="str">
        <v/>
      </c>
    </row>
    <row r="466" spans="8:8" x14ac:dyDescent="0.2">
      <c r="H466" s="9" t="str">
        <v/>
      </c>
    </row>
    <row r="467" spans="8:8" x14ac:dyDescent="0.2">
      <c r="H467" s="9" t="str">
        <v/>
      </c>
    </row>
    <row r="468" spans="8:8" x14ac:dyDescent="0.2">
      <c r="H468" s="9" t="str">
        <v/>
      </c>
    </row>
    <row r="469" spans="8:8" x14ac:dyDescent="0.2">
      <c r="H469" s="9" t="str">
        <v/>
      </c>
    </row>
    <row r="470" spans="8:8" x14ac:dyDescent="0.2">
      <c r="H470" s="9" t="str">
        <v/>
      </c>
    </row>
    <row r="471" spans="8:8" x14ac:dyDescent="0.2">
      <c r="H471" s="9" t="str">
        <v/>
      </c>
    </row>
    <row r="472" spans="8:8" x14ac:dyDescent="0.2">
      <c r="H472" s="9" t="str">
        <v/>
      </c>
    </row>
    <row r="473" spans="8:8" x14ac:dyDescent="0.2">
      <c r="H473" s="9" t="str">
        <v/>
      </c>
    </row>
    <row r="474" spans="8:8" x14ac:dyDescent="0.2">
      <c r="H474" s="9" t="str">
        <v/>
      </c>
    </row>
    <row r="475" spans="8:8" x14ac:dyDescent="0.2">
      <c r="H475" s="9" t="str">
        <v/>
      </c>
    </row>
    <row r="476" spans="8:8" x14ac:dyDescent="0.2">
      <c r="H476" s="9" t="str">
        <v/>
      </c>
    </row>
    <row r="477" spans="8:8" x14ac:dyDescent="0.2">
      <c r="H477" s="9" t="str">
        <v/>
      </c>
    </row>
    <row r="478" spans="8:8" x14ac:dyDescent="0.2">
      <c r="H478" s="9" t="str">
        <v/>
      </c>
    </row>
    <row r="479" spans="8:8" x14ac:dyDescent="0.2">
      <c r="H479" s="9" t="str">
        <v/>
      </c>
    </row>
    <row r="480" spans="8:8" x14ac:dyDescent="0.2">
      <c r="H480" s="9" t="str">
        <v/>
      </c>
    </row>
    <row r="481" spans="8:8" x14ac:dyDescent="0.2">
      <c r="H481" s="9" t="str">
        <v/>
      </c>
    </row>
    <row r="482" spans="8:8" x14ac:dyDescent="0.2">
      <c r="H482" s="9" t="str">
        <v/>
      </c>
    </row>
    <row r="483" spans="8:8" x14ac:dyDescent="0.2">
      <c r="H483" s="9" t="str">
        <v/>
      </c>
    </row>
    <row r="484" spans="8:8" x14ac:dyDescent="0.2">
      <c r="H484" s="9" t="str">
        <v/>
      </c>
    </row>
    <row r="485" spans="8:8" x14ac:dyDescent="0.2">
      <c r="H485" s="9" t="str">
        <v/>
      </c>
    </row>
    <row r="486" spans="8:8" x14ac:dyDescent="0.2">
      <c r="H486" s="9" t="str">
        <v/>
      </c>
    </row>
    <row r="487" spans="8:8" x14ac:dyDescent="0.2">
      <c r="H487" s="9" t="str">
        <v/>
      </c>
    </row>
    <row r="488" spans="8:8" x14ac:dyDescent="0.2">
      <c r="H488" s="9" t="str">
        <v/>
      </c>
    </row>
    <row r="489" spans="8:8" x14ac:dyDescent="0.2">
      <c r="H489" s="9" t="str">
        <v/>
      </c>
    </row>
    <row r="490" spans="8:8" x14ac:dyDescent="0.2">
      <c r="H490" s="9" t="str">
        <v/>
      </c>
    </row>
    <row r="491" spans="8:8" x14ac:dyDescent="0.2">
      <c r="H491" s="9" t="str">
        <v/>
      </c>
    </row>
    <row r="492" spans="8:8" x14ac:dyDescent="0.2">
      <c r="H492" s="9" t="str">
        <v/>
      </c>
    </row>
    <row r="493" spans="8:8" x14ac:dyDescent="0.2">
      <c r="H493" s="9" t="str">
        <v/>
      </c>
    </row>
    <row r="494" spans="8:8" x14ac:dyDescent="0.2">
      <c r="H494" s="9" t="str">
        <v/>
      </c>
    </row>
    <row r="495" spans="8:8" x14ac:dyDescent="0.2">
      <c r="H495" s="9" t="str">
        <v/>
      </c>
    </row>
    <row r="496" spans="8:8" x14ac:dyDescent="0.2">
      <c r="H496" s="9" t="str">
        <v/>
      </c>
    </row>
    <row r="497" spans="8:8" x14ac:dyDescent="0.2">
      <c r="H497" s="9" t="str">
        <v/>
      </c>
    </row>
    <row r="498" spans="8:8" x14ac:dyDescent="0.2">
      <c r="H498" s="9" t="str">
        <v/>
      </c>
    </row>
    <row r="499" spans="8:8" x14ac:dyDescent="0.2">
      <c r="H499" s="9" t="str">
        <v/>
      </c>
    </row>
    <row r="500" spans="8:8" x14ac:dyDescent="0.2">
      <c r="H500" s="9" t="str">
        <v/>
      </c>
    </row>
    <row r="501" spans="8:8" x14ac:dyDescent="0.2">
      <c r="H501" s="9" t="str">
        <v/>
      </c>
    </row>
    <row r="502" spans="8:8" x14ac:dyDescent="0.2">
      <c r="H502" s="9" t="str">
        <v/>
      </c>
    </row>
    <row r="503" spans="8:8" x14ac:dyDescent="0.2">
      <c r="H503" s="9" t="str">
        <v/>
      </c>
    </row>
    <row r="504" spans="8:8" x14ac:dyDescent="0.2">
      <c r="H504" s="9" t="str">
        <v/>
      </c>
    </row>
    <row r="505" spans="8:8" x14ac:dyDescent="0.2">
      <c r="H505" s="9" t="str">
        <v/>
      </c>
    </row>
    <row r="506" spans="8:8" x14ac:dyDescent="0.2">
      <c r="H506" s="9" t="str">
        <v/>
      </c>
    </row>
    <row r="507" spans="8:8" x14ac:dyDescent="0.2">
      <c r="H507" s="9" t="str">
        <v/>
      </c>
    </row>
    <row r="508" spans="8:8" x14ac:dyDescent="0.2">
      <c r="H508" s="9" t="str">
        <v/>
      </c>
    </row>
    <row r="509" spans="8:8" x14ac:dyDescent="0.2">
      <c r="H509" s="9" t="str">
        <v/>
      </c>
    </row>
    <row r="510" spans="8:8" x14ac:dyDescent="0.2">
      <c r="H510" s="9" t="str">
        <v/>
      </c>
    </row>
    <row r="511" spans="8:8" x14ac:dyDescent="0.2">
      <c r="H511" s="9" t="str">
        <v/>
      </c>
    </row>
    <row r="512" spans="8:8" x14ac:dyDescent="0.2">
      <c r="H512" s="9" t="str">
        <v/>
      </c>
    </row>
    <row r="513" spans="8:8" x14ac:dyDescent="0.2">
      <c r="H513" s="9" t="str">
        <v/>
      </c>
    </row>
    <row r="514" spans="8:8" x14ac:dyDescent="0.2">
      <c r="H514" s="9" t="str">
        <v/>
      </c>
    </row>
    <row r="515" spans="8:8" x14ac:dyDescent="0.2">
      <c r="H515" s="9" t="str">
        <v/>
      </c>
    </row>
    <row r="516" spans="8:8" x14ac:dyDescent="0.2">
      <c r="H516" s="9" t="str">
        <v/>
      </c>
    </row>
    <row r="517" spans="8:8" x14ac:dyDescent="0.2">
      <c r="H517" s="9" t="str">
        <v/>
      </c>
    </row>
    <row r="518" spans="8:8" x14ac:dyDescent="0.2">
      <c r="H518" s="9" t="str">
        <v/>
      </c>
    </row>
    <row r="519" spans="8:8" x14ac:dyDescent="0.2">
      <c r="H519" s="9" t="str">
        <v/>
      </c>
    </row>
    <row r="520" spans="8:8" x14ac:dyDescent="0.2">
      <c r="H520" s="9" t="str">
        <v/>
      </c>
    </row>
    <row r="521" spans="8:8" x14ac:dyDescent="0.2">
      <c r="H521" s="9" t="str">
        <v/>
      </c>
    </row>
    <row r="522" spans="8:8" x14ac:dyDescent="0.2">
      <c r="H522" s="9" t="str">
        <v/>
      </c>
    </row>
    <row r="523" spans="8:8" x14ac:dyDescent="0.2">
      <c r="H523" s="9" t="str">
        <v/>
      </c>
    </row>
    <row r="524" spans="8:8" x14ac:dyDescent="0.2">
      <c r="H524" s="9" t="str">
        <v/>
      </c>
    </row>
    <row r="525" spans="8:8" x14ac:dyDescent="0.2">
      <c r="H525" s="9" t="str">
        <v/>
      </c>
    </row>
    <row r="526" spans="8:8" x14ac:dyDescent="0.2">
      <c r="H526" s="9" t="str">
        <v/>
      </c>
    </row>
    <row r="527" spans="8:8" x14ac:dyDescent="0.2">
      <c r="H527" s="9" t="str">
        <v/>
      </c>
    </row>
    <row r="528" spans="8:8" x14ac:dyDescent="0.2">
      <c r="H528" s="9" t="str">
        <v/>
      </c>
    </row>
    <row r="529" spans="8:8" x14ac:dyDescent="0.2">
      <c r="H529" s="9" t="str">
        <v/>
      </c>
    </row>
    <row r="530" spans="8:8" x14ac:dyDescent="0.2">
      <c r="H530" s="9" t="str">
        <v/>
      </c>
    </row>
    <row r="531" spans="8:8" x14ac:dyDescent="0.2">
      <c r="H531" s="9" t="str">
        <v/>
      </c>
    </row>
    <row r="532" spans="8:8" x14ac:dyDescent="0.2">
      <c r="H532" s="9" t="str">
        <v/>
      </c>
    </row>
    <row r="533" spans="8:8" x14ac:dyDescent="0.2">
      <c r="H533" s="9" t="str">
        <v/>
      </c>
    </row>
    <row r="534" spans="8:8" x14ac:dyDescent="0.2">
      <c r="H534" s="9" t="str">
        <v/>
      </c>
    </row>
    <row r="535" spans="8:8" x14ac:dyDescent="0.2">
      <c r="H535" s="9" t="str">
        <v/>
      </c>
    </row>
    <row r="536" spans="8:8" x14ac:dyDescent="0.2">
      <c r="H536" s="9" t="str">
        <v/>
      </c>
    </row>
    <row r="537" spans="8:8" x14ac:dyDescent="0.2">
      <c r="H537" s="9" t="str">
        <v/>
      </c>
    </row>
    <row r="538" spans="8:8" x14ac:dyDescent="0.2">
      <c r="H538" s="9" t="str">
        <v/>
      </c>
    </row>
    <row r="539" spans="8:8" x14ac:dyDescent="0.2">
      <c r="H539" s="9" t="str">
        <v/>
      </c>
    </row>
    <row r="540" spans="8:8" x14ac:dyDescent="0.2">
      <c r="H540" s="9" t="str">
        <v/>
      </c>
    </row>
    <row r="541" spans="8:8" x14ac:dyDescent="0.2">
      <c r="H541" s="9" t="str">
        <v/>
      </c>
    </row>
    <row r="542" spans="8:8" x14ac:dyDescent="0.2">
      <c r="H542" s="9" t="str">
        <v/>
      </c>
    </row>
    <row r="543" spans="8:8" x14ac:dyDescent="0.2">
      <c r="H543" s="9" t="str">
        <v/>
      </c>
    </row>
    <row r="544" spans="8:8" x14ac:dyDescent="0.2">
      <c r="H544" s="9" t="str">
        <v/>
      </c>
    </row>
    <row r="545" spans="8:8" x14ac:dyDescent="0.2">
      <c r="H545" s="9" t="str">
        <v/>
      </c>
    </row>
    <row r="546" spans="8:8" x14ac:dyDescent="0.2">
      <c r="H546" s="9" t="str">
        <v/>
      </c>
    </row>
    <row r="547" spans="8:8" x14ac:dyDescent="0.2">
      <c r="H547" s="9" t="str">
        <v/>
      </c>
    </row>
    <row r="548" spans="8:8" x14ac:dyDescent="0.2">
      <c r="H548" s="9" t="str">
        <v/>
      </c>
    </row>
    <row r="549" spans="8:8" x14ac:dyDescent="0.2">
      <c r="H549" s="9" t="str">
        <v/>
      </c>
    </row>
    <row r="550" spans="8:8" x14ac:dyDescent="0.2">
      <c r="H550" s="9" t="str">
        <v/>
      </c>
    </row>
    <row r="551" spans="8:8" x14ac:dyDescent="0.2">
      <c r="H551" s="9" t="str">
        <v/>
      </c>
    </row>
    <row r="552" spans="8:8" x14ac:dyDescent="0.2">
      <c r="H552" s="9" t="str">
        <v/>
      </c>
    </row>
    <row r="553" spans="8:8" x14ac:dyDescent="0.2">
      <c r="H553" s="9" t="str">
        <v/>
      </c>
    </row>
    <row r="554" spans="8:8" x14ac:dyDescent="0.2">
      <c r="H554" s="9" t="str">
        <v/>
      </c>
    </row>
    <row r="555" spans="8:8" x14ac:dyDescent="0.2">
      <c r="H555" s="9" t="str">
        <v/>
      </c>
    </row>
    <row r="556" spans="8:8" x14ac:dyDescent="0.2">
      <c r="H556" s="9" t="str">
        <v/>
      </c>
    </row>
    <row r="557" spans="8:8" x14ac:dyDescent="0.2">
      <c r="H557" s="9" t="str">
        <v/>
      </c>
    </row>
    <row r="558" spans="8:8" x14ac:dyDescent="0.2">
      <c r="H558" s="9" t="str">
        <v/>
      </c>
    </row>
    <row r="559" spans="8:8" x14ac:dyDescent="0.2">
      <c r="H559" s="9" t="str">
        <v/>
      </c>
    </row>
    <row r="560" spans="8:8" x14ac:dyDescent="0.2">
      <c r="H560" s="9" t="str">
        <v/>
      </c>
    </row>
    <row r="561" spans="8:8" x14ac:dyDescent="0.2">
      <c r="H561" s="9" t="str">
        <v/>
      </c>
    </row>
    <row r="562" spans="8:8" x14ac:dyDescent="0.2">
      <c r="H562" s="9" t="str">
        <v/>
      </c>
    </row>
    <row r="563" spans="8:8" x14ac:dyDescent="0.2">
      <c r="H563" s="9" t="str">
        <v/>
      </c>
    </row>
    <row r="564" spans="8:8" x14ac:dyDescent="0.2">
      <c r="H564" s="9" t="str">
        <v/>
      </c>
    </row>
    <row r="565" spans="8:8" x14ac:dyDescent="0.2">
      <c r="H565" s="9" t="str">
        <v/>
      </c>
    </row>
    <row r="566" spans="8:8" x14ac:dyDescent="0.2">
      <c r="H566" s="9" t="str">
        <v/>
      </c>
    </row>
    <row r="567" spans="8:8" x14ac:dyDescent="0.2">
      <c r="H567" s="9" t="str">
        <v/>
      </c>
    </row>
    <row r="568" spans="8:8" x14ac:dyDescent="0.2">
      <c r="H568" s="9" t="str">
        <v/>
      </c>
    </row>
    <row r="569" spans="8:8" x14ac:dyDescent="0.2">
      <c r="H569" s="9" t="str">
        <v/>
      </c>
    </row>
    <row r="570" spans="8:8" x14ac:dyDescent="0.2">
      <c r="H570" s="9" t="str">
        <v/>
      </c>
    </row>
    <row r="571" spans="8:8" x14ac:dyDescent="0.2">
      <c r="H571" s="9" t="str">
        <v/>
      </c>
    </row>
    <row r="572" spans="8:8" x14ac:dyDescent="0.2">
      <c r="H572" s="9" t="str">
        <v/>
      </c>
    </row>
    <row r="573" spans="8:8" x14ac:dyDescent="0.2">
      <c r="H573" s="9" t="str">
        <v/>
      </c>
    </row>
    <row r="574" spans="8:8" x14ac:dyDescent="0.2">
      <c r="H574" s="9" t="str">
        <v/>
      </c>
    </row>
    <row r="575" spans="8:8" x14ac:dyDescent="0.2">
      <c r="H575" s="9" t="str">
        <v/>
      </c>
    </row>
    <row r="576" spans="8:8" x14ac:dyDescent="0.2">
      <c r="H576" s="9" t="str">
        <v/>
      </c>
    </row>
    <row r="577" spans="8:8" x14ac:dyDescent="0.2">
      <c r="H577" s="9" t="str">
        <v/>
      </c>
    </row>
    <row r="578" spans="8:8" x14ac:dyDescent="0.2">
      <c r="H578" s="9" t="str">
        <v/>
      </c>
    </row>
    <row r="579" spans="8:8" x14ac:dyDescent="0.2">
      <c r="H579" s="9" t="str">
        <v/>
      </c>
    </row>
    <row r="580" spans="8:8" x14ac:dyDescent="0.2">
      <c r="H580" s="9" t="str">
        <v/>
      </c>
    </row>
    <row r="581" spans="8:8" x14ac:dyDescent="0.2">
      <c r="H581" s="9" t="str">
        <v/>
      </c>
    </row>
    <row r="582" spans="8:8" x14ac:dyDescent="0.2">
      <c r="H582" s="9" t="str">
        <v/>
      </c>
    </row>
    <row r="583" spans="8:8" x14ac:dyDescent="0.2">
      <c r="H583" s="9" t="str">
        <v/>
      </c>
    </row>
    <row r="584" spans="8:8" x14ac:dyDescent="0.2">
      <c r="H584" s="9" t="str">
        <v/>
      </c>
    </row>
    <row r="585" spans="8:8" x14ac:dyDescent="0.2">
      <c r="H585" s="9" t="str">
        <v/>
      </c>
    </row>
    <row r="586" spans="8:8" x14ac:dyDescent="0.2">
      <c r="H586" s="9" t="str">
        <v/>
      </c>
    </row>
    <row r="587" spans="8:8" x14ac:dyDescent="0.2">
      <c r="H587" s="9" t="str">
        <v/>
      </c>
    </row>
    <row r="588" spans="8:8" x14ac:dyDescent="0.2">
      <c r="H588" s="9" t="str">
        <v/>
      </c>
    </row>
    <row r="589" spans="8:8" x14ac:dyDescent="0.2">
      <c r="H589" s="9" t="str">
        <v/>
      </c>
    </row>
    <row r="590" spans="8:8" x14ac:dyDescent="0.2">
      <c r="H590" s="9" t="str">
        <v/>
      </c>
    </row>
    <row r="591" spans="8:8" x14ac:dyDescent="0.2">
      <c r="H591" s="9" t="str">
        <v/>
      </c>
    </row>
    <row r="592" spans="8:8" x14ac:dyDescent="0.2">
      <c r="H592" s="9" t="str">
        <v/>
      </c>
    </row>
    <row r="593" spans="8:8" x14ac:dyDescent="0.2">
      <c r="H593" s="9" t="str">
        <v/>
      </c>
    </row>
    <row r="594" spans="8:8" x14ac:dyDescent="0.2">
      <c r="H594" s="9" t="str">
        <v/>
      </c>
    </row>
    <row r="595" spans="8:8" x14ac:dyDescent="0.2">
      <c r="H595" s="9" t="str">
        <v/>
      </c>
    </row>
    <row r="596" spans="8:8" x14ac:dyDescent="0.2">
      <c r="H596" s="9" t="str">
        <v/>
      </c>
    </row>
    <row r="597" spans="8:8" x14ac:dyDescent="0.2">
      <c r="H597" s="9" t="str">
        <v/>
      </c>
    </row>
    <row r="598" spans="8:8" x14ac:dyDescent="0.2">
      <c r="H598" s="9" t="str">
        <v/>
      </c>
    </row>
    <row r="599" spans="8:8" x14ac:dyDescent="0.2">
      <c r="H599" s="9" t="str">
        <v/>
      </c>
    </row>
    <row r="600" spans="8:8" x14ac:dyDescent="0.2">
      <c r="H600" s="9" t="str">
        <v/>
      </c>
    </row>
    <row r="601" spans="8:8" x14ac:dyDescent="0.2">
      <c r="H601" s="9" t="str">
        <v/>
      </c>
    </row>
    <row r="602" spans="8:8" x14ac:dyDescent="0.2">
      <c r="H602" s="9" t="str">
        <v/>
      </c>
    </row>
    <row r="603" spans="8:8" x14ac:dyDescent="0.2">
      <c r="H603" s="9" t="str">
        <v/>
      </c>
    </row>
    <row r="604" spans="8:8" x14ac:dyDescent="0.2">
      <c r="H604" s="9" t="str">
        <v/>
      </c>
    </row>
    <row r="605" spans="8:8" x14ac:dyDescent="0.2">
      <c r="H605" s="9" t="str">
        <v/>
      </c>
    </row>
    <row r="606" spans="8:8" x14ac:dyDescent="0.2">
      <c r="H606" s="9" t="str">
        <v/>
      </c>
    </row>
    <row r="607" spans="8:8" x14ac:dyDescent="0.2">
      <c r="H607" s="9" t="str">
        <v/>
      </c>
    </row>
    <row r="608" spans="8:8" x14ac:dyDescent="0.2">
      <c r="H608" s="9" t="str">
        <v/>
      </c>
    </row>
    <row r="609" spans="8:8" x14ac:dyDescent="0.2">
      <c r="H609" s="9" t="str">
        <v/>
      </c>
    </row>
    <row r="610" spans="8:8" x14ac:dyDescent="0.2">
      <c r="H610" s="9" t="str">
        <v/>
      </c>
    </row>
    <row r="611" spans="8:8" x14ac:dyDescent="0.2">
      <c r="H611" s="9" t="str">
        <v/>
      </c>
    </row>
    <row r="612" spans="8:8" x14ac:dyDescent="0.2">
      <c r="H612" s="9" t="str">
        <v/>
      </c>
    </row>
    <row r="613" spans="8:8" x14ac:dyDescent="0.2">
      <c r="H613" s="9" t="str">
        <v/>
      </c>
    </row>
    <row r="614" spans="8:8" x14ac:dyDescent="0.2">
      <c r="H614" s="9" t="str">
        <v/>
      </c>
    </row>
    <row r="615" spans="8:8" x14ac:dyDescent="0.2">
      <c r="H615" s="9" t="str">
        <v/>
      </c>
    </row>
    <row r="616" spans="8:8" x14ac:dyDescent="0.2">
      <c r="H616" s="9" t="str">
        <v/>
      </c>
    </row>
    <row r="617" spans="8:8" x14ac:dyDescent="0.2">
      <c r="H617" s="9" t="str">
        <v/>
      </c>
    </row>
    <row r="618" spans="8:8" x14ac:dyDescent="0.2">
      <c r="H618" s="9" t="str">
        <v/>
      </c>
    </row>
    <row r="619" spans="8:8" x14ac:dyDescent="0.2">
      <c r="H619" s="9" t="str">
        <v/>
      </c>
    </row>
    <row r="620" spans="8:8" x14ac:dyDescent="0.2">
      <c r="H620" s="9" t="str">
        <v/>
      </c>
    </row>
    <row r="621" spans="8:8" x14ac:dyDescent="0.2">
      <c r="H621" s="9" t="str">
        <v/>
      </c>
    </row>
    <row r="622" spans="8:8" x14ac:dyDescent="0.2">
      <c r="H622" s="9" t="str">
        <v/>
      </c>
    </row>
    <row r="623" spans="8:8" x14ac:dyDescent="0.2">
      <c r="H623" s="9" t="str">
        <v/>
      </c>
    </row>
    <row r="624" spans="8:8" x14ac:dyDescent="0.2">
      <c r="H624" s="9" t="str">
        <v/>
      </c>
    </row>
    <row r="625" spans="8:8" x14ac:dyDescent="0.2">
      <c r="H625" s="9" t="str">
        <v/>
      </c>
    </row>
    <row r="626" spans="8:8" x14ac:dyDescent="0.2">
      <c r="H626" s="9" t="str">
        <v/>
      </c>
    </row>
    <row r="627" spans="8:8" x14ac:dyDescent="0.2">
      <c r="H627" s="9" t="str">
        <v/>
      </c>
    </row>
    <row r="628" spans="8:8" x14ac:dyDescent="0.2">
      <c r="H628" s="9" t="str">
        <v/>
      </c>
    </row>
    <row r="629" spans="8:8" x14ac:dyDescent="0.2">
      <c r="H629" s="9" t="str">
        <v/>
      </c>
    </row>
    <row r="630" spans="8:8" x14ac:dyDescent="0.2">
      <c r="H630" s="9" t="str">
        <v/>
      </c>
    </row>
    <row r="631" spans="8:8" x14ac:dyDescent="0.2">
      <c r="H631" s="9" t="str">
        <v/>
      </c>
    </row>
    <row r="632" spans="8:8" x14ac:dyDescent="0.2">
      <c r="H632" s="9" t="str">
        <v/>
      </c>
    </row>
    <row r="633" spans="8:8" x14ac:dyDescent="0.2">
      <c r="H633" s="9" t="str">
        <v/>
      </c>
    </row>
    <row r="634" spans="8:8" x14ac:dyDescent="0.2">
      <c r="H634" s="9" t="str">
        <v/>
      </c>
    </row>
    <row r="635" spans="8:8" x14ac:dyDescent="0.2">
      <c r="H635" s="9" t="str">
        <v/>
      </c>
    </row>
    <row r="636" spans="8:8" x14ac:dyDescent="0.2">
      <c r="H636" s="9" t="str">
        <v/>
      </c>
    </row>
    <row r="637" spans="8:8" x14ac:dyDescent="0.2">
      <c r="H637" s="9" t="str">
        <v/>
      </c>
    </row>
    <row r="638" spans="8:8" x14ac:dyDescent="0.2">
      <c r="H638" s="9" t="str">
        <v/>
      </c>
    </row>
    <row r="639" spans="8:8" x14ac:dyDescent="0.2">
      <c r="H639" s="9" t="str">
        <v/>
      </c>
    </row>
    <row r="640" spans="8:8" x14ac:dyDescent="0.2">
      <c r="H640" s="9" t="str">
        <v/>
      </c>
    </row>
    <row r="641" spans="8:8" x14ac:dyDescent="0.2">
      <c r="H641" s="9" t="str">
        <v/>
      </c>
    </row>
    <row r="642" spans="8:8" x14ac:dyDescent="0.2">
      <c r="H642" s="9" t="str">
        <v/>
      </c>
    </row>
    <row r="643" spans="8:8" x14ac:dyDescent="0.2">
      <c r="H643" s="9" t="str">
        <v/>
      </c>
    </row>
    <row r="644" spans="8:8" x14ac:dyDescent="0.2">
      <c r="H644" s="9" t="str">
        <v/>
      </c>
    </row>
    <row r="645" spans="8:8" x14ac:dyDescent="0.2">
      <c r="H645" s="9" t="str">
        <v/>
      </c>
    </row>
    <row r="646" spans="8:8" x14ac:dyDescent="0.2">
      <c r="H646" s="9" t="str">
        <v/>
      </c>
    </row>
    <row r="647" spans="8:8" x14ac:dyDescent="0.2">
      <c r="H647" s="9" t="str">
        <v/>
      </c>
    </row>
    <row r="648" spans="8:8" x14ac:dyDescent="0.2">
      <c r="H648" s="9" t="str">
        <v/>
      </c>
    </row>
    <row r="649" spans="8:8" x14ac:dyDescent="0.2">
      <c r="H649" s="9" t="str">
        <v/>
      </c>
    </row>
    <row r="650" spans="8:8" x14ac:dyDescent="0.2">
      <c r="H650" s="9" t="str">
        <v/>
      </c>
    </row>
    <row r="651" spans="8:8" x14ac:dyDescent="0.2">
      <c r="H651" s="9" t="str">
        <v/>
      </c>
    </row>
    <row r="652" spans="8:8" x14ac:dyDescent="0.2">
      <c r="H652" s="9" t="str">
        <v/>
      </c>
    </row>
    <row r="653" spans="8:8" x14ac:dyDescent="0.2">
      <c r="H653" s="9" t="str">
        <v/>
      </c>
    </row>
    <row r="654" spans="8:8" x14ac:dyDescent="0.2">
      <c r="H654" s="9" t="str">
        <v/>
      </c>
    </row>
    <row r="655" spans="8:8" x14ac:dyDescent="0.2">
      <c r="H655" s="9" t="str">
        <v/>
      </c>
    </row>
    <row r="656" spans="8:8" x14ac:dyDescent="0.2">
      <c r="H656" s="9" t="str">
        <v/>
      </c>
    </row>
    <row r="657" spans="8:8" x14ac:dyDescent="0.2">
      <c r="H657" s="9" t="str">
        <v/>
      </c>
    </row>
    <row r="658" spans="8:8" x14ac:dyDescent="0.2">
      <c r="H658" s="9" t="str">
        <v/>
      </c>
    </row>
    <row r="659" spans="8:8" x14ac:dyDescent="0.2">
      <c r="H659" s="9" t="str">
        <v/>
      </c>
    </row>
    <row r="660" spans="8:8" x14ac:dyDescent="0.2">
      <c r="H660" s="9" t="str">
        <v/>
      </c>
    </row>
    <row r="661" spans="8:8" x14ac:dyDescent="0.2">
      <c r="H661" s="9" t="str">
        <v/>
      </c>
    </row>
    <row r="662" spans="8:8" x14ac:dyDescent="0.2">
      <c r="H662" s="9" t="str">
        <v/>
      </c>
    </row>
    <row r="663" spans="8:8" x14ac:dyDescent="0.2">
      <c r="H663" s="9" t="str">
        <v/>
      </c>
    </row>
    <row r="664" spans="8:8" x14ac:dyDescent="0.2">
      <c r="H664" s="9" t="str">
        <v/>
      </c>
    </row>
    <row r="665" spans="8:8" x14ac:dyDescent="0.2">
      <c r="H665" s="9" t="str">
        <v/>
      </c>
    </row>
    <row r="666" spans="8:8" x14ac:dyDescent="0.2">
      <c r="H666" s="9" t="str">
        <v/>
      </c>
    </row>
    <row r="667" spans="8:8" x14ac:dyDescent="0.2">
      <c r="H667" s="9" t="str">
        <v/>
      </c>
    </row>
    <row r="668" spans="8:8" x14ac:dyDescent="0.2">
      <c r="H668" s="9" t="str">
        <v/>
      </c>
    </row>
    <row r="669" spans="8:8" x14ac:dyDescent="0.2">
      <c r="H669" s="9" t="str">
        <v/>
      </c>
    </row>
    <row r="670" spans="8:8" x14ac:dyDescent="0.2">
      <c r="H670" s="9" t="str">
        <v/>
      </c>
    </row>
    <row r="671" spans="8:8" x14ac:dyDescent="0.2">
      <c r="H671" s="9" t="str">
        <v/>
      </c>
    </row>
    <row r="672" spans="8:8" x14ac:dyDescent="0.2">
      <c r="H672" s="9" t="str">
        <v/>
      </c>
    </row>
    <row r="673" spans="8:8" x14ac:dyDescent="0.2">
      <c r="H673" s="9" t="str">
        <v/>
      </c>
    </row>
    <row r="674" spans="8:8" x14ac:dyDescent="0.2">
      <c r="H674" s="9" t="str">
        <v/>
      </c>
    </row>
    <row r="675" spans="8:8" x14ac:dyDescent="0.2">
      <c r="H675" s="9" t="str">
        <v/>
      </c>
    </row>
    <row r="676" spans="8:8" x14ac:dyDescent="0.2">
      <c r="H676" s="9" t="str">
        <v/>
      </c>
    </row>
    <row r="677" spans="8:8" x14ac:dyDescent="0.2">
      <c r="H677" s="9" t="str">
        <v/>
      </c>
    </row>
    <row r="678" spans="8:8" x14ac:dyDescent="0.2">
      <c r="H678" s="9" t="str">
        <v/>
      </c>
    </row>
    <row r="679" spans="8:8" x14ac:dyDescent="0.2">
      <c r="H679" s="9" t="str">
        <v/>
      </c>
    </row>
    <row r="680" spans="8:8" x14ac:dyDescent="0.2">
      <c r="H680" s="9" t="str">
        <v/>
      </c>
    </row>
    <row r="681" spans="8:8" x14ac:dyDescent="0.2">
      <c r="H681" s="9" t="str">
        <v/>
      </c>
    </row>
    <row r="682" spans="8:8" x14ac:dyDescent="0.2">
      <c r="H682" s="9" t="str">
        <v/>
      </c>
    </row>
    <row r="683" spans="8:8" x14ac:dyDescent="0.2">
      <c r="H683" s="9" t="str">
        <v/>
      </c>
    </row>
    <row r="684" spans="8:8" x14ac:dyDescent="0.2">
      <c r="H684" s="9" t="str">
        <v/>
      </c>
    </row>
    <row r="685" spans="8:8" x14ac:dyDescent="0.2">
      <c r="H685" s="9" t="str">
        <v/>
      </c>
    </row>
    <row r="686" spans="8:8" x14ac:dyDescent="0.2">
      <c r="H686" s="9" t="str">
        <v/>
      </c>
    </row>
    <row r="687" spans="8:8" x14ac:dyDescent="0.2">
      <c r="H687" s="9" t="str">
        <v/>
      </c>
    </row>
    <row r="688" spans="8:8" x14ac:dyDescent="0.2">
      <c r="H688" s="9" t="str">
        <v/>
      </c>
    </row>
    <row r="689" spans="8:8" x14ac:dyDescent="0.2">
      <c r="H689" s="9" t="str">
        <v/>
      </c>
    </row>
    <row r="690" spans="8:8" x14ac:dyDescent="0.2">
      <c r="H690" s="9" t="str">
        <v/>
      </c>
    </row>
    <row r="691" spans="8:8" x14ac:dyDescent="0.2">
      <c r="H691" s="9" t="str">
        <v/>
      </c>
    </row>
    <row r="692" spans="8:8" x14ac:dyDescent="0.2">
      <c r="H692" s="9" t="str">
        <v/>
      </c>
    </row>
    <row r="693" spans="8:8" x14ac:dyDescent="0.2">
      <c r="H693" s="9" t="str">
        <v/>
      </c>
    </row>
    <row r="694" spans="8:8" x14ac:dyDescent="0.2">
      <c r="H694" s="9" t="str">
        <v/>
      </c>
    </row>
    <row r="695" spans="8:8" x14ac:dyDescent="0.2">
      <c r="H695" s="9" t="str">
        <v/>
      </c>
    </row>
    <row r="696" spans="8:8" x14ac:dyDescent="0.2">
      <c r="H696" s="9" t="str">
        <v/>
      </c>
    </row>
    <row r="697" spans="8:8" x14ac:dyDescent="0.2">
      <c r="H697" s="9" t="str">
        <v/>
      </c>
    </row>
    <row r="698" spans="8:8" x14ac:dyDescent="0.2">
      <c r="H698" s="9" t="str">
        <v/>
      </c>
    </row>
    <row r="699" spans="8:8" x14ac:dyDescent="0.2">
      <c r="H699" s="9" t="str">
        <v/>
      </c>
    </row>
    <row r="700" spans="8:8" x14ac:dyDescent="0.2">
      <c r="H700" s="9" t="str">
        <v/>
      </c>
    </row>
    <row r="701" spans="8:8" x14ac:dyDescent="0.2">
      <c r="H701" s="9" t="str">
        <v/>
      </c>
    </row>
    <row r="702" spans="8:8" x14ac:dyDescent="0.2">
      <c r="H702" s="9" t="str">
        <v/>
      </c>
    </row>
    <row r="703" spans="8:8" x14ac:dyDescent="0.2">
      <c r="H703" s="9" t="str">
        <v/>
      </c>
    </row>
    <row r="704" spans="8:8" x14ac:dyDescent="0.2">
      <c r="H704" s="9" t="str">
        <v/>
      </c>
    </row>
    <row r="705" spans="8:8" x14ac:dyDescent="0.2">
      <c r="H705" s="9" t="str">
        <v/>
      </c>
    </row>
    <row r="706" spans="8:8" x14ac:dyDescent="0.2">
      <c r="H706" s="9" t="str">
        <v/>
      </c>
    </row>
    <row r="707" spans="8:8" x14ac:dyDescent="0.2">
      <c r="H707" s="9" t="str">
        <v/>
      </c>
    </row>
    <row r="708" spans="8:8" x14ac:dyDescent="0.2">
      <c r="H708" s="9" t="str">
        <v/>
      </c>
    </row>
    <row r="709" spans="8:8" x14ac:dyDescent="0.2">
      <c r="H709" s="9" t="str">
        <v/>
      </c>
    </row>
    <row r="710" spans="8:8" x14ac:dyDescent="0.2">
      <c r="H710" s="9" t="str">
        <v/>
      </c>
    </row>
    <row r="711" spans="8:8" x14ac:dyDescent="0.2">
      <c r="H711" s="9" t="str">
        <v/>
      </c>
    </row>
    <row r="712" spans="8:8" x14ac:dyDescent="0.2">
      <c r="H712" s="9" t="str">
        <v/>
      </c>
    </row>
    <row r="713" spans="8:8" x14ac:dyDescent="0.2">
      <c r="H713" s="9" t="str">
        <v/>
      </c>
    </row>
    <row r="714" spans="8:8" x14ac:dyDescent="0.2">
      <c r="H714" s="9" t="str">
        <v/>
      </c>
    </row>
    <row r="715" spans="8:8" x14ac:dyDescent="0.2">
      <c r="H715" s="9" t="str">
        <v/>
      </c>
    </row>
    <row r="716" spans="8:8" x14ac:dyDescent="0.2">
      <c r="H716" s="9" t="str">
        <v/>
      </c>
    </row>
    <row r="717" spans="8:8" x14ac:dyDescent="0.2">
      <c r="H717" s="9" t="str">
        <v/>
      </c>
    </row>
    <row r="718" spans="8:8" x14ac:dyDescent="0.2">
      <c r="H718" s="9" t="str">
        <v/>
      </c>
    </row>
    <row r="719" spans="8:8" x14ac:dyDescent="0.2">
      <c r="H719" s="9" t="str">
        <v/>
      </c>
    </row>
    <row r="720" spans="8:8" x14ac:dyDescent="0.2">
      <c r="H720" s="9" t="str">
        <v/>
      </c>
    </row>
    <row r="721" spans="8:8" x14ac:dyDescent="0.2">
      <c r="H721" s="9" t="str">
        <v/>
      </c>
    </row>
    <row r="722" spans="8:8" x14ac:dyDescent="0.2">
      <c r="H722" s="9" t="str">
        <v/>
      </c>
    </row>
    <row r="723" spans="8:8" x14ac:dyDescent="0.2">
      <c r="H723" s="9" t="str">
        <v/>
      </c>
    </row>
    <row r="724" spans="8:8" x14ac:dyDescent="0.2">
      <c r="H724" s="9" t="str">
        <v/>
      </c>
    </row>
    <row r="725" spans="8:8" x14ac:dyDescent="0.2">
      <c r="H725" s="9" t="str">
        <v/>
      </c>
    </row>
    <row r="726" spans="8:8" x14ac:dyDescent="0.2">
      <c r="H726" s="9" t="str">
        <v/>
      </c>
    </row>
    <row r="727" spans="8:8" x14ac:dyDescent="0.2">
      <c r="H727" s="9" t="str">
        <v/>
      </c>
    </row>
    <row r="728" spans="8:8" x14ac:dyDescent="0.2">
      <c r="H728" s="9" t="str">
        <v/>
      </c>
    </row>
    <row r="729" spans="8:8" x14ac:dyDescent="0.2">
      <c r="H729" s="9" t="str">
        <v/>
      </c>
    </row>
    <row r="730" spans="8:8" x14ac:dyDescent="0.2">
      <c r="H730" s="9" t="str">
        <v/>
      </c>
    </row>
    <row r="731" spans="8:8" x14ac:dyDescent="0.2">
      <c r="H731" s="9" t="str">
        <v/>
      </c>
    </row>
    <row r="732" spans="8:8" x14ac:dyDescent="0.2">
      <c r="H732" s="9" t="str">
        <v/>
      </c>
    </row>
    <row r="733" spans="8:8" x14ac:dyDescent="0.2">
      <c r="H733" s="9" t="str">
        <v/>
      </c>
    </row>
    <row r="734" spans="8:8" x14ac:dyDescent="0.2">
      <c r="H734" s="9" t="str">
        <v/>
      </c>
    </row>
    <row r="735" spans="8:8" x14ac:dyDescent="0.2">
      <c r="H735" s="9" t="str">
        <v/>
      </c>
    </row>
    <row r="736" spans="8:8" x14ac:dyDescent="0.2">
      <c r="H736" s="9" t="str">
        <v/>
      </c>
    </row>
    <row r="737" spans="8:8" x14ac:dyDescent="0.2">
      <c r="H737" s="9" t="str">
        <v/>
      </c>
    </row>
    <row r="738" spans="8:8" x14ac:dyDescent="0.2">
      <c r="H738" s="9" t="str">
        <v/>
      </c>
    </row>
    <row r="739" spans="8:8" x14ac:dyDescent="0.2">
      <c r="H739" s="9" t="str">
        <v/>
      </c>
    </row>
    <row r="740" spans="8:8" x14ac:dyDescent="0.2">
      <c r="H740" s="9" t="str">
        <v/>
      </c>
    </row>
    <row r="741" spans="8:8" x14ac:dyDescent="0.2">
      <c r="H741" s="9" t="str">
        <v/>
      </c>
    </row>
    <row r="742" spans="8:8" x14ac:dyDescent="0.2">
      <c r="H742" s="9" t="str">
        <v/>
      </c>
    </row>
    <row r="743" spans="8:8" x14ac:dyDescent="0.2">
      <c r="H743" s="9" t="str">
        <v/>
      </c>
    </row>
    <row r="744" spans="8:8" x14ac:dyDescent="0.2">
      <c r="H744" s="9" t="str">
        <v/>
      </c>
    </row>
    <row r="745" spans="8:8" x14ac:dyDescent="0.2">
      <c r="H745" s="9" t="str">
        <v/>
      </c>
    </row>
    <row r="746" spans="8:8" x14ac:dyDescent="0.2">
      <c r="H746" s="9" t="str">
        <v/>
      </c>
    </row>
    <row r="747" spans="8:8" x14ac:dyDescent="0.2">
      <c r="H747" s="9" t="str">
        <v/>
      </c>
    </row>
    <row r="748" spans="8:8" x14ac:dyDescent="0.2">
      <c r="H748" s="9" t="str">
        <v/>
      </c>
    </row>
    <row r="749" spans="8:8" x14ac:dyDescent="0.2">
      <c r="H749" s="9" t="str">
        <v/>
      </c>
    </row>
    <row r="750" spans="8:8" x14ac:dyDescent="0.2">
      <c r="H750" s="9" t="str">
        <v/>
      </c>
    </row>
    <row r="751" spans="8:8" x14ac:dyDescent="0.2">
      <c r="H751" s="9" t="str">
        <v/>
      </c>
    </row>
    <row r="752" spans="8:8" x14ac:dyDescent="0.2">
      <c r="H752" s="9" t="str">
        <v/>
      </c>
    </row>
    <row r="753" spans="8:8" x14ac:dyDescent="0.2">
      <c r="H753" s="9" t="str">
        <v/>
      </c>
    </row>
    <row r="754" spans="8:8" x14ac:dyDescent="0.2">
      <c r="H754" s="9" t="str">
        <v/>
      </c>
    </row>
    <row r="755" spans="8:8" x14ac:dyDescent="0.2">
      <c r="H755" s="9" t="str">
        <v/>
      </c>
    </row>
    <row r="756" spans="8:8" x14ac:dyDescent="0.2">
      <c r="H756" s="9" t="str">
        <v/>
      </c>
    </row>
    <row r="757" spans="8:8" x14ac:dyDescent="0.2">
      <c r="H757" s="9" t="str">
        <v/>
      </c>
    </row>
    <row r="758" spans="8:8" x14ac:dyDescent="0.2">
      <c r="H758" s="9" t="str">
        <v/>
      </c>
    </row>
    <row r="759" spans="8:8" x14ac:dyDescent="0.2">
      <c r="H759" s="9" t="str">
        <v/>
      </c>
    </row>
    <row r="760" spans="8:8" x14ac:dyDescent="0.2">
      <c r="H760" s="9" t="str">
        <v/>
      </c>
    </row>
    <row r="761" spans="8:8" x14ac:dyDescent="0.2">
      <c r="H761" s="9" t="str">
        <v/>
      </c>
    </row>
    <row r="762" spans="8:8" x14ac:dyDescent="0.2">
      <c r="H762" s="9" t="str">
        <v/>
      </c>
    </row>
    <row r="763" spans="8:8" x14ac:dyDescent="0.2">
      <c r="H763" s="9" t="str">
        <v/>
      </c>
    </row>
    <row r="764" spans="8:8" x14ac:dyDescent="0.2">
      <c r="H764" s="9" t="str">
        <v/>
      </c>
    </row>
    <row r="765" spans="8:8" x14ac:dyDescent="0.2">
      <c r="H765" s="9" t="str">
        <v/>
      </c>
    </row>
    <row r="766" spans="8:8" x14ac:dyDescent="0.2">
      <c r="H766" s="9" t="str">
        <v/>
      </c>
    </row>
    <row r="767" spans="8:8" x14ac:dyDescent="0.2">
      <c r="H767" s="9" t="str">
        <v/>
      </c>
    </row>
    <row r="768" spans="8:8" x14ac:dyDescent="0.2">
      <c r="H768" s="9" t="str">
        <v/>
      </c>
    </row>
    <row r="769" spans="8:8" x14ac:dyDescent="0.2">
      <c r="H769" s="9" t="str">
        <v/>
      </c>
    </row>
    <row r="770" spans="8:8" x14ac:dyDescent="0.2">
      <c r="H770" s="9" t="str">
        <v/>
      </c>
    </row>
    <row r="771" spans="8:8" x14ac:dyDescent="0.2">
      <c r="H771" s="9" t="str">
        <v/>
      </c>
    </row>
    <row r="772" spans="8:8" x14ac:dyDescent="0.2">
      <c r="H772" s="9" t="str">
        <v/>
      </c>
    </row>
    <row r="773" spans="8:8" x14ac:dyDescent="0.2">
      <c r="H773" s="9" t="str">
        <v/>
      </c>
    </row>
    <row r="774" spans="8:8" x14ac:dyDescent="0.2">
      <c r="H774" s="9" t="str">
        <v/>
      </c>
    </row>
    <row r="775" spans="8:8" x14ac:dyDescent="0.2">
      <c r="H775" s="9" t="str">
        <v/>
      </c>
    </row>
    <row r="776" spans="8:8" x14ac:dyDescent="0.2">
      <c r="H776" s="9" t="str">
        <v/>
      </c>
    </row>
    <row r="777" spans="8:8" x14ac:dyDescent="0.2">
      <c r="H777" s="9" t="str">
        <v/>
      </c>
    </row>
    <row r="778" spans="8:8" x14ac:dyDescent="0.2">
      <c r="H778" s="9" t="str">
        <v/>
      </c>
    </row>
    <row r="779" spans="8:8" x14ac:dyDescent="0.2">
      <c r="H779" s="9" t="str">
        <v/>
      </c>
    </row>
    <row r="780" spans="8:8" x14ac:dyDescent="0.2">
      <c r="H780" s="9" t="str">
        <v/>
      </c>
    </row>
    <row r="781" spans="8:8" x14ac:dyDescent="0.2">
      <c r="H781" s="9" t="str">
        <v/>
      </c>
    </row>
    <row r="782" spans="8:8" x14ac:dyDescent="0.2">
      <c r="H782" s="9" t="str">
        <v/>
      </c>
    </row>
    <row r="783" spans="8:8" x14ac:dyDescent="0.2">
      <c r="H783" s="9" t="str">
        <v/>
      </c>
    </row>
    <row r="784" spans="8:8" x14ac:dyDescent="0.2">
      <c r="H784" s="9" t="str">
        <v/>
      </c>
    </row>
    <row r="785" spans="8:8" x14ac:dyDescent="0.2">
      <c r="H785" s="9" t="str">
        <v/>
      </c>
    </row>
    <row r="786" spans="8:8" x14ac:dyDescent="0.2">
      <c r="H786" s="9" t="str">
        <v/>
      </c>
    </row>
    <row r="787" spans="8:8" x14ac:dyDescent="0.2">
      <c r="H787" s="9" t="str">
        <v/>
      </c>
    </row>
    <row r="788" spans="8:8" x14ac:dyDescent="0.2">
      <c r="H788" s="9" t="str">
        <v/>
      </c>
    </row>
    <row r="789" spans="8:8" x14ac:dyDescent="0.2">
      <c r="H789" s="9" t="str">
        <v/>
      </c>
    </row>
    <row r="790" spans="8:8" x14ac:dyDescent="0.2">
      <c r="H790" s="9" t="str">
        <v/>
      </c>
    </row>
    <row r="791" spans="8:8" x14ac:dyDescent="0.2">
      <c r="H791" s="9" t="str">
        <v/>
      </c>
    </row>
    <row r="792" spans="8:8" x14ac:dyDescent="0.2">
      <c r="H792" s="9" t="str">
        <v/>
      </c>
    </row>
    <row r="793" spans="8:8" x14ac:dyDescent="0.2">
      <c r="H793" s="9" t="str">
        <v/>
      </c>
    </row>
    <row r="794" spans="8:8" x14ac:dyDescent="0.2">
      <c r="H794" s="9" t="str">
        <v/>
      </c>
    </row>
    <row r="795" spans="8:8" x14ac:dyDescent="0.2">
      <c r="H795" s="9" t="str">
        <v/>
      </c>
    </row>
    <row r="796" spans="8:8" x14ac:dyDescent="0.2">
      <c r="H796" s="9" t="str">
        <v/>
      </c>
    </row>
    <row r="797" spans="8:8" x14ac:dyDescent="0.2">
      <c r="H797" s="9" t="str">
        <v/>
      </c>
    </row>
    <row r="798" spans="8:8" x14ac:dyDescent="0.2">
      <c r="H798" s="9" t="str">
        <v/>
      </c>
    </row>
    <row r="799" spans="8:8" x14ac:dyDescent="0.2">
      <c r="H799" s="9" t="str">
        <v/>
      </c>
    </row>
    <row r="800" spans="8:8" x14ac:dyDescent="0.2">
      <c r="H800" s="9" t="str">
        <v/>
      </c>
    </row>
    <row r="801" spans="8:8" x14ac:dyDescent="0.2">
      <c r="H801" s="9" t="str">
        <v/>
      </c>
    </row>
    <row r="802" spans="8:8" x14ac:dyDescent="0.2">
      <c r="H802" s="9" t="str">
        <v/>
      </c>
    </row>
    <row r="803" spans="8:8" x14ac:dyDescent="0.2">
      <c r="H803" s="9" t="str">
        <v/>
      </c>
    </row>
    <row r="804" spans="8:8" x14ac:dyDescent="0.2">
      <c r="H804" s="9" t="str">
        <v/>
      </c>
    </row>
    <row r="805" spans="8:8" x14ac:dyDescent="0.2">
      <c r="H805" s="9" t="str">
        <v/>
      </c>
    </row>
    <row r="806" spans="8:8" x14ac:dyDescent="0.2">
      <c r="H806" s="9" t="str">
        <v/>
      </c>
    </row>
    <row r="807" spans="8:8" x14ac:dyDescent="0.2">
      <c r="H807" s="9" t="str">
        <v/>
      </c>
    </row>
    <row r="808" spans="8:8" x14ac:dyDescent="0.2">
      <c r="H808" s="9" t="str">
        <v/>
      </c>
    </row>
    <row r="809" spans="8:8" x14ac:dyDescent="0.2">
      <c r="H809" s="9" t="str">
        <v/>
      </c>
    </row>
    <row r="810" spans="8:8" x14ac:dyDescent="0.2">
      <c r="H810" s="9" t="str">
        <v/>
      </c>
    </row>
    <row r="811" spans="8:8" x14ac:dyDescent="0.2">
      <c r="H811" s="9" t="str">
        <v/>
      </c>
    </row>
    <row r="812" spans="8:8" x14ac:dyDescent="0.2">
      <c r="H812" s="9" t="str">
        <v/>
      </c>
    </row>
    <row r="813" spans="8:8" x14ac:dyDescent="0.2">
      <c r="H813" s="9" t="str">
        <v/>
      </c>
    </row>
    <row r="814" spans="8:8" x14ac:dyDescent="0.2">
      <c r="H814" s="9" t="str">
        <v/>
      </c>
    </row>
    <row r="815" spans="8:8" x14ac:dyDescent="0.2">
      <c r="H815" s="9" t="str">
        <v/>
      </c>
    </row>
    <row r="816" spans="8:8" x14ac:dyDescent="0.2">
      <c r="H816" s="9" t="str">
        <v/>
      </c>
    </row>
    <row r="817" spans="8:8" x14ac:dyDescent="0.2">
      <c r="H817" s="9" t="str">
        <v/>
      </c>
    </row>
    <row r="818" spans="8:8" x14ac:dyDescent="0.2">
      <c r="H818" s="9" t="str">
        <v/>
      </c>
    </row>
    <row r="819" spans="8:8" x14ac:dyDescent="0.2">
      <c r="H819" s="9" t="str">
        <v/>
      </c>
    </row>
    <row r="820" spans="8:8" x14ac:dyDescent="0.2">
      <c r="H820" s="9" t="str">
        <v/>
      </c>
    </row>
    <row r="821" spans="8:8" x14ac:dyDescent="0.2">
      <c r="H821" s="9" t="str">
        <v/>
      </c>
    </row>
    <row r="822" spans="8:8" x14ac:dyDescent="0.2">
      <c r="H822" s="9" t="str">
        <v/>
      </c>
    </row>
    <row r="823" spans="8:8" x14ac:dyDescent="0.2">
      <c r="H823" s="9" t="str">
        <v/>
      </c>
    </row>
    <row r="824" spans="8:8" x14ac:dyDescent="0.2">
      <c r="H824" s="9" t="str">
        <v/>
      </c>
    </row>
    <row r="825" spans="8:8" x14ac:dyDescent="0.2">
      <c r="H825" s="9" t="str">
        <v/>
      </c>
    </row>
    <row r="826" spans="8:8" x14ac:dyDescent="0.2">
      <c r="H826" s="9" t="str">
        <v/>
      </c>
    </row>
    <row r="827" spans="8:8" x14ac:dyDescent="0.2">
      <c r="H827" s="9" t="str">
        <v/>
      </c>
    </row>
    <row r="828" spans="8:8" x14ac:dyDescent="0.2">
      <c r="H828" s="9" t="str">
        <v/>
      </c>
    </row>
    <row r="829" spans="8:8" x14ac:dyDescent="0.2">
      <c r="H829" s="9" t="str">
        <v/>
      </c>
    </row>
    <row r="830" spans="8:8" x14ac:dyDescent="0.2">
      <c r="H830" s="9" t="str">
        <v/>
      </c>
    </row>
    <row r="831" spans="8:8" x14ac:dyDescent="0.2">
      <c r="H831" s="9" t="str">
        <v/>
      </c>
    </row>
    <row r="832" spans="8:8" x14ac:dyDescent="0.2">
      <c r="H832" s="9" t="str">
        <v/>
      </c>
    </row>
    <row r="833" spans="8:8" x14ac:dyDescent="0.2">
      <c r="H833" s="9" t="str">
        <v/>
      </c>
    </row>
    <row r="834" spans="8:8" x14ac:dyDescent="0.2">
      <c r="H834" s="9" t="str">
        <v/>
      </c>
    </row>
    <row r="835" spans="8:8" x14ac:dyDescent="0.2">
      <c r="H835" s="9" t="str">
        <v/>
      </c>
    </row>
    <row r="836" spans="8:8" x14ac:dyDescent="0.2">
      <c r="H836" s="9" t="str">
        <v/>
      </c>
    </row>
    <row r="837" spans="8:8" x14ac:dyDescent="0.2">
      <c r="H837" s="9" t="str">
        <v/>
      </c>
    </row>
    <row r="838" spans="8:8" x14ac:dyDescent="0.2">
      <c r="H838" s="9" t="str">
        <v/>
      </c>
    </row>
    <row r="839" spans="8:8" x14ac:dyDescent="0.2">
      <c r="H839" s="9" t="str">
        <v/>
      </c>
    </row>
    <row r="840" spans="8:8" x14ac:dyDescent="0.2">
      <c r="H840" s="9" t="str">
        <v/>
      </c>
    </row>
    <row r="841" spans="8:8" x14ac:dyDescent="0.2">
      <c r="H841" s="9" t="str">
        <v/>
      </c>
    </row>
    <row r="842" spans="8:8" x14ac:dyDescent="0.2">
      <c r="H842" s="9" t="str">
        <v/>
      </c>
    </row>
    <row r="843" spans="8:8" x14ac:dyDescent="0.2">
      <c r="H843" s="9" t="str">
        <v/>
      </c>
    </row>
    <row r="844" spans="8:8" x14ac:dyDescent="0.2">
      <c r="H844" s="9" t="str">
        <v/>
      </c>
    </row>
    <row r="845" spans="8:8" x14ac:dyDescent="0.2">
      <c r="H845" s="9" t="str">
        <v/>
      </c>
    </row>
    <row r="846" spans="8:8" x14ac:dyDescent="0.2">
      <c r="H846" s="9" t="str">
        <v/>
      </c>
    </row>
    <row r="847" spans="8:8" x14ac:dyDescent="0.2">
      <c r="H847" s="9" t="str">
        <v/>
      </c>
    </row>
    <row r="848" spans="8:8" x14ac:dyDescent="0.2">
      <c r="H848" s="9" t="str">
        <v/>
      </c>
    </row>
    <row r="849" spans="8:8" x14ac:dyDescent="0.2">
      <c r="H849" s="9" t="str">
        <v/>
      </c>
    </row>
    <row r="850" spans="8:8" x14ac:dyDescent="0.2">
      <c r="H850" s="9" t="str">
        <v/>
      </c>
    </row>
    <row r="851" spans="8:8" x14ac:dyDescent="0.2">
      <c r="H851" s="9" t="str">
        <v/>
      </c>
    </row>
    <row r="852" spans="8:8" x14ac:dyDescent="0.2">
      <c r="H852" s="9" t="str">
        <v/>
      </c>
    </row>
    <row r="853" spans="8:8" x14ac:dyDescent="0.2">
      <c r="H853" s="9" t="str">
        <v/>
      </c>
    </row>
    <row r="854" spans="8:8" x14ac:dyDescent="0.2">
      <c r="H854" s="9" t="str">
        <v/>
      </c>
    </row>
    <row r="855" spans="8:8" x14ac:dyDescent="0.2">
      <c r="H855" s="9" t="str">
        <v/>
      </c>
    </row>
    <row r="856" spans="8:8" x14ac:dyDescent="0.2">
      <c r="H856" s="9" t="str">
        <v/>
      </c>
    </row>
    <row r="857" spans="8:8" x14ac:dyDescent="0.2">
      <c r="H857" s="9" t="str">
        <v/>
      </c>
    </row>
    <row r="858" spans="8:8" x14ac:dyDescent="0.2">
      <c r="H858" s="9" t="str">
        <v/>
      </c>
    </row>
    <row r="859" spans="8:8" x14ac:dyDescent="0.2">
      <c r="H859" s="9" t="str">
        <v/>
      </c>
    </row>
    <row r="860" spans="8:8" x14ac:dyDescent="0.2">
      <c r="H860" s="9" t="str">
        <v/>
      </c>
    </row>
    <row r="861" spans="8:8" x14ac:dyDescent="0.2">
      <c r="H861" s="9" t="str">
        <v/>
      </c>
    </row>
    <row r="862" spans="8:8" x14ac:dyDescent="0.2">
      <c r="H862" s="9" t="str">
        <v/>
      </c>
    </row>
    <row r="863" spans="8:8" x14ac:dyDescent="0.2">
      <c r="H863" s="9" t="str">
        <v/>
      </c>
    </row>
    <row r="864" spans="8:8" x14ac:dyDescent="0.2">
      <c r="H864" s="9" t="str">
        <v/>
      </c>
    </row>
    <row r="865" spans="8:8" x14ac:dyDescent="0.2">
      <c r="H865" s="9" t="str">
        <v/>
      </c>
    </row>
    <row r="866" spans="8:8" x14ac:dyDescent="0.2">
      <c r="H866" s="9" t="str">
        <v/>
      </c>
    </row>
    <row r="867" spans="8:8" x14ac:dyDescent="0.2">
      <c r="H867" s="9" t="str">
        <v/>
      </c>
    </row>
    <row r="868" spans="8:8" x14ac:dyDescent="0.2">
      <c r="H868" s="9" t="str">
        <v/>
      </c>
    </row>
    <row r="869" spans="8:8" x14ac:dyDescent="0.2">
      <c r="H869" s="9" t="str">
        <v/>
      </c>
    </row>
    <row r="870" spans="8:8" x14ac:dyDescent="0.2">
      <c r="H870" s="9" t="str">
        <v/>
      </c>
    </row>
    <row r="871" spans="8:8" x14ac:dyDescent="0.2">
      <c r="H871" s="9" t="str">
        <v/>
      </c>
    </row>
    <row r="872" spans="8:8" x14ac:dyDescent="0.2">
      <c r="H872" s="9" t="str">
        <v/>
      </c>
    </row>
    <row r="873" spans="8:8" x14ac:dyDescent="0.2">
      <c r="H873" s="9" t="str">
        <v/>
      </c>
    </row>
    <row r="874" spans="8:8" x14ac:dyDescent="0.2">
      <c r="H874" s="9" t="str">
        <v/>
      </c>
    </row>
    <row r="875" spans="8:8" x14ac:dyDescent="0.2">
      <c r="H875" s="9" t="str">
        <v/>
      </c>
    </row>
    <row r="876" spans="8:8" x14ac:dyDescent="0.2">
      <c r="H876" s="9" t="str">
        <v/>
      </c>
    </row>
    <row r="877" spans="8:8" x14ac:dyDescent="0.2">
      <c r="H877" s="9" t="str">
        <v/>
      </c>
    </row>
    <row r="878" spans="8:8" x14ac:dyDescent="0.2">
      <c r="H878" s="9" t="str">
        <v/>
      </c>
    </row>
    <row r="879" spans="8:8" x14ac:dyDescent="0.2">
      <c r="H879" s="9" t="str">
        <v/>
      </c>
    </row>
    <row r="880" spans="8:8" x14ac:dyDescent="0.2">
      <c r="H880" s="9" t="str">
        <v/>
      </c>
    </row>
    <row r="881" spans="8:8" x14ac:dyDescent="0.2">
      <c r="H881" s="9" t="str">
        <v/>
      </c>
    </row>
    <row r="882" spans="8:8" x14ac:dyDescent="0.2">
      <c r="H882" s="9" t="str">
        <v/>
      </c>
    </row>
    <row r="883" spans="8:8" x14ac:dyDescent="0.2">
      <c r="H883" s="9" t="str">
        <v/>
      </c>
    </row>
    <row r="884" spans="8:8" x14ac:dyDescent="0.2">
      <c r="H884" s="9" t="str">
        <v/>
      </c>
    </row>
    <row r="885" spans="8:8" x14ac:dyDescent="0.2">
      <c r="H885" s="9" t="str">
        <v/>
      </c>
    </row>
    <row r="886" spans="8:8" x14ac:dyDescent="0.2">
      <c r="H886" s="9" t="str">
        <v/>
      </c>
    </row>
    <row r="887" spans="8:8" x14ac:dyDescent="0.2">
      <c r="H887" s="9" t="str">
        <v/>
      </c>
    </row>
    <row r="888" spans="8:8" x14ac:dyDescent="0.2">
      <c r="H888" s="9" t="str">
        <v/>
      </c>
    </row>
    <row r="889" spans="8:8" x14ac:dyDescent="0.2">
      <c r="H889" s="9" t="str">
        <v/>
      </c>
    </row>
    <row r="890" spans="8:8" x14ac:dyDescent="0.2">
      <c r="H890" s="9" t="str">
        <v/>
      </c>
    </row>
    <row r="891" spans="8:8" x14ac:dyDescent="0.2">
      <c r="H891" s="9" t="str">
        <v/>
      </c>
    </row>
    <row r="892" spans="8:8" x14ac:dyDescent="0.2">
      <c r="H892" s="9" t="str">
        <v/>
      </c>
    </row>
    <row r="893" spans="8:8" x14ac:dyDescent="0.2">
      <c r="H893" s="9" t="str">
        <v/>
      </c>
    </row>
    <row r="894" spans="8:8" x14ac:dyDescent="0.2">
      <c r="H894" s="9" t="str">
        <v/>
      </c>
    </row>
    <row r="895" spans="8:8" x14ac:dyDescent="0.2">
      <c r="H895" s="9" t="str">
        <v/>
      </c>
    </row>
    <row r="896" spans="8:8" x14ac:dyDescent="0.2">
      <c r="H896" s="9" t="str">
        <v/>
      </c>
    </row>
    <row r="897" spans="8:8" x14ac:dyDescent="0.2">
      <c r="H897" s="9" t="str">
        <v/>
      </c>
    </row>
    <row r="898" spans="8:8" x14ac:dyDescent="0.2">
      <c r="H898" s="9" t="str">
        <v/>
      </c>
    </row>
    <row r="899" spans="8:8" x14ac:dyDescent="0.2">
      <c r="H899" s="9" t="str">
        <v/>
      </c>
    </row>
    <row r="900" spans="8:8" x14ac:dyDescent="0.2">
      <c r="H900" s="9" t="str">
        <v/>
      </c>
    </row>
    <row r="901" spans="8:8" x14ac:dyDescent="0.2">
      <c r="H901" s="9" t="str">
        <v/>
      </c>
    </row>
    <row r="902" spans="8:8" x14ac:dyDescent="0.2">
      <c r="H902" s="9" t="str">
        <v/>
      </c>
    </row>
    <row r="903" spans="8:8" x14ac:dyDescent="0.2">
      <c r="H903" s="9" t="str">
        <v/>
      </c>
    </row>
    <row r="904" spans="8:8" x14ac:dyDescent="0.2">
      <c r="H904" s="9" t="str">
        <v/>
      </c>
    </row>
    <row r="905" spans="8:8" x14ac:dyDescent="0.2">
      <c r="H905" s="9" t="str">
        <v/>
      </c>
    </row>
    <row r="906" spans="8:8" x14ac:dyDescent="0.2">
      <c r="H906" s="9" t="str">
        <v/>
      </c>
    </row>
    <row r="907" spans="8:8" x14ac:dyDescent="0.2">
      <c r="H907" s="9" t="str">
        <v/>
      </c>
    </row>
    <row r="908" spans="8:8" x14ac:dyDescent="0.2">
      <c r="H908" s="9" t="str">
        <v/>
      </c>
    </row>
    <row r="909" spans="8:8" x14ac:dyDescent="0.2">
      <c r="H909" s="9" t="str">
        <v/>
      </c>
    </row>
    <row r="910" spans="8:8" x14ac:dyDescent="0.2">
      <c r="H910" s="9" t="str">
        <v/>
      </c>
    </row>
    <row r="911" spans="8:8" x14ac:dyDescent="0.2">
      <c r="H911" s="9" t="str">
        <v/>
      </c>
    </row>
    <row r="912" spans="8:8" x14ac:dyDescent="0.2">
      <c r="H912" s="9" t="str">
        <v/>
      </c>
    </row>
    <row r="913" spans="8:8" x14ac:dyDescent="0.2">
      <c r="H913" s="9" t="str">
        <v/>
      </c>
    </row>
    <row r="914" spans="8:8" x14ac:dyDescent="0.2">
      <c r="H914" s="9" t="str">
        <v/>
      </c>
    </row>
    <row r="915" spans="8:8" x14ac:dyDescent="0.2">
      <c r="H915" s="9" t="str">
        <v/>
      </c>
    </row>
    <row r="916" spans="8:8" x14ac:dyDescent="0.2">
      <c r="H916" s="9" t="str">
        <v/>
      </c>
    </row>
    <row r="917" spans="8:8" x14ac:dyDescent="0.2">
      <c r="H917" s="9" t="str">
        <v/>
      </c>
    </row>
    <row r="918" spans="8:8" x14ac:dyDescent="0.2">
      <c r="H918" s="9" t="str">
        <v/>
      </c>
    </row>
    <row r="919" spans="8:8" x14ac:dyDescent="0.2">
      <c r="H919" s="9" t="str">
        <v/>
      </c>
    </row>
    <row r="920" spans="8:8" x14ac:dyDescent="0.2">
      <c r="H920" s="9" t="str">
        <v/>
      </c>
    </row>
    <row r="921" spans="8:8" x14ac:dyDescent="0.2">
      <c r="H921" s="9" t="str">
        <v/>
      </c>
    </row>
    <row r="922" spans="8:8" x14ac:dyDescent="0.2">
      <c r="H922" s="9" t="str">
        <v/>
      </c>
    </row>
    <row r="923" spans="8:8" x14ac:dyDescent="0.2">
      <c r="H923" s="9" t="str">
        <v/>
      </c>
    </row>
    <row r="924" spans="8:8" x14ac:dyDescent="0.2">
      <c r="H924" s="9" t="str">
        <v/>
      </c>
    </row>
    <row r="925" spans="8:8" x14ac:dyDescent="0.2">
      <c r="H925" s="9" t="str">
        <v/>
      </c>
    </row>
    <row r="926" spans="8:8" x14ac:dyDescent="0.2">
      <c r="H926" s="9" t="str">
        <v/>
      </c>
    </row>
    <row r="927" spans="8:8" x14ac:dyDescent="0.2">
      <c r="H927" s="9" t="str">
        <v/>
      </c>
    </row>
    <row r="928" spans="8:8" x14ac:dyDescent="0.2">
      <c r="H928" s="9" t="str">
        <v/>
      </c>
    </row>
    <row r="929" spans="8:8" x14ac:dyDescent="0.2">
      <c r="H929" s="9" t="str">
        <v/>
      </c>
    </row>
    <row r="930" spans="8:8" x14ac:dyDescent="0.2">
      <c r="H930" s="9" t="str">
        <v/>
      </c>
    </row>
    <row r="931" spans="8:8" x14ac:dyDescent="0.2">
      <c r="H931" s="9" t="str">
        <v/>
      </c>
    </row>
    <row r="932" spans="8:8" x14ac:dyDescent="0.2">
      <c r="H932" s="9" t="str">
        <v/>
      </c>
    </row>
    <row r="933" spans="8:8" x14ac:dyDescent="0.2">
      <c r="H933" s="9" t="str">
        <v/>
      </c>
    </row>
    <row r="934" spans="8:8" x14ac:dyDescent="0.2">
      <c r="H934" s="9" t="str">
        <v/>
      </c>
    </row>
    <row r="935" spans="8:8" x14ac:dyDescent="0.2">
      <c r="H935" s="9" t="str">
        <v/>
      </c>
    </row>
    <row r="936" spans="8:8" x14ac:dyDescent="0.2">
      <c r="H936" s="9" t="str">
        <v/>
      </c>
    </row>
    <row r="937" spans="8:8" x14ac:dyDescent="0.2">
      <c r="H937" s="9" t="str">
        <v/>
      </c>
    </row>
    <row r="938" spans="8:8" x14ac:dyDescent="0.2">
      <c r="H938" s="9" t="str">
        <v/>
      </c>
    </row>
    <row r="939" spans="8:8" x14ac:dyDescent="0.2">
      <c r="H939" s="9" t="str">
        <v/>
      </c>
    </row>
    <row r="940" spans="8:8" x14ac:dyDescent="0.2">
      <c r="H940" s="9" t="str">
        <v/>
      </c>
    </row>
    <row r="941" spans="8:8" x14ac:dyDescent="0.2">
      <c r="H941" s="9" t="str">
        <v/>
      </c>
    </row>
    <row r="942" spans="8:8" x14ac:dyDescent="0.2">
      <c r="H942" s="9" t="str">
        <v/>
      </c>
    </row>
    <row r="943" spans="8:8" x14ac:dyDescent="0.2">
      <c r="H943" s="9" t="str">
        <v/>
      </c>
    </row>
    <row r="944" spans="8:8" x14ac:dyDescent="0.2">
      <c r="H944" s="9" t="str">
        <v/>
      </c>
    </row>
    <row r="945" spans="8:8" x14ac:dyDescent="0.2">
      <c r="H945" s="9" t="str">
        <v/>
      </c>
    </row>
    <row r="946" spans="8:8" x14ac:dyDescent="0.2">
      <c r="H946" s="9" t="str">
        <v/>
      </c>
    </row>
    <row r="947" spans="8:8" x14ac:dyDescent="0.2">
      <c r="H947" s="9" t="str">
        <v/>
      </c>
    </row>
    <row r="948" spans="8:8" x14ac:dyDescent="0.2">
      <c r="H948" s="9" t="str">
        <v/>
      </c>
    </row>
    <row r="949" spans="8:8" x14ac:dyDescent="0.2">
      <c r="H949" s="9" t="str">
        <v/>
      </c>
    </row>
    <row r="950" spans="8:8" x14ac:dyDescent="0.2">
      <c r="H950" s="9" t="str">
        <v/>
      </c>
    </row>
    <row r="951" spans="8:8" x14ac:dyDescent="0.2">
      <c r="H951" s="9" t="str">
        <v/>
      </c>
    </row>
    <row r="952" spans="8:8" x14ac:dyDescent="0.2">
      <c r="H952" s="9" t="str">
        <v/>
      </c>
    </row>
    <row r="953" spans="8:8" x14ac:dyDescent="0.2">
      <c r="H953" s="9" t="str">
        <v/>
      </c>
    </row>
    <row r="954" spans="8:8" x14ac:dyDescent="0.2">
      <c r="H954" s="9" t="str">
        <v/>
      </c>
    </row>
    <row r="955" spans="8:8" x14ac:dyDescent="0.2">
      <c r="H955" s="9" t="str">
        <v/>
      </c>
    </row>
    <row r="956" spans="8:8" x14ac:dyDescent="0.2">
      <c r="H956" s="9" t="str">
        <v/>
      </c>
    </row>
    <row r="957" spans="8:8" x14ac:dyDescent="0.2">
      <c r="H957" s="9" t="str">
        <v/>
      </c>
    </row>
    <row r="958" spans="8:8" x14ac:dyDescent="0.2">
      <c r="H958" s="9" t="str">
        <v/>
      </c>
    </row>
    <row r="959" spans="8:8" x14ac:dyDescent="0.2">
      <c r="H959" s="9" t="str">
        <v/>
      </c>
    </row>
    <row r="960" spans="8:8" x14ac:dyDescent="0.2">
      <c r="H960" s="9" t="str">
        <v/>
      </c>
    </row>
    <row r="961" spans="8:8" x14ac:dyDescent="0.2">
      <c r="H961" s="9" t="str">
        <v/>
      </c>
    </row>
    <row r="962" spans="8:8" x14ac:dyDescent="0.2">
      <c r="H962" s="9" t="str">
        <v/>
      </c>
    </row>
    <row r="963" spans="8:8" x14ac:dyDescent="0.2">
      <c r="H963" s="9" t="str">
        <v/>
      </c>
    </row>
    <row r="964" spans="8:8" x14ac:dyDescent="0.2">
      <c r="H964" s="9" t="str">
        <v/>
      </c>
    </row>
    <row r="965" spans="8:8" x14ac:dyDescent="0.2">
      <c r="H965" s="9" t="str">
        <v/>
      </c>
    </row>
    <row r="966" spans="8:8" x14ac:dyDescent="0.2">
      <c r="H966" s="9" t="str">
        <v/>
      </c>
    </row>
    <row r="967" spans="8:8" x14ac:dyDescent="0.2">
      <c r="H967" s="9" t="str">
        <v/>
      </c>
    </row>
    <row r="968" spans="8:8" x14ac:dyDescent="0.2">
      <c r="H968" s="9" t="str">
        <v/>
      </c>
    </row>
    <row r="969" spans="8:8" x14ac:dyDescent="0.2">
      <c r="H969" s="9" t="str">
        <v/>
      </c>
    </row>
    <row r="970" spans="8:8" x14ac:dyDescent="0.2">
      <c r="H970" s="9" t="str">
        <v/>
      </c>
    </row>
    <row r="971" spans="8:8" x14ac:dyDescent="0.2">
      <c r="H971" s="9" t="str">
        <v/>
      </c>
    </row>
    <row r="972" spans="8:8" x14ac:dyDescent="0.2">
      <c r="H972" s="9" t="str">
        <v/>
      </c>
    </row>
    <row r="973" spans="8:8" x14ac:dyDescent="0.2">
      <c r="H973" s="9" t="str">
        <v/>
      </c>
    </row>
    <row r="974" spans="8:8" x14ac:dyDescent="0.2">
      <c r="H974" s="9" t="str">
        <v/>
      </c>
    </row>
    <row r="975" spans="8:8" x14ac:dyDescent="0.2">
      <c r="H975" s="9" t="str">
        <v/>
      </c>
    </row>
    <row r="976" spans="8:8" x14ac:dyDescent="0.2">
      <c r="H976" s="9" t="str">
        <v/>
      </c>
    </row>
    <row r="977" spans="8:8" x14ac:dyDescent="0.2">
      <c r="H977" s="9" t="str">
        <v/>
      </c>
    </row>
    <row r="978" spans="8:8" x14ac:dyDescent="0.2">
      <c r="H978" s="9" t="str">
        <v/>
      </c>
    </row>
    <row r="979" spans="8:8" x14ac:dyDescent="0.2">
      <c r="H979" s="9" t="str">
        <v/>
      </c>
    </row>
    <row r="980" spans="8:8" x14ac:dyDescent="0.2">
      <c r="H980" s="9" t="str">
        <v/>
      </c>
    </row>
    <row r="981" spans="8:8" x14ac:dyDescent="0.2">
      <c r="H981" s="9" t="str">
        <v/>
      </c>
    </row>
    <row r="982" spans="8:8" x14ac:dyDescent="0.2">
      <c r="H982" s="9" t="str">
        <v/>
      </c>
    </row>
    <row r="983" spans="8:8" x14ac:dyDescent="0.2">
      <c r="H983" s="9" t="str">
        <v/>
      </c>
    </row>
    <row r="984" spans="8:8" x14ac:dyDescent="0.2">
      <c r="H984" s="9" t="str">
        <v/>
      </c>
    </row>
    <row r="985" spans="8:8" x14ac:dyDescent="0.2">
      <c r="H985" s="9" t="str">
        <v/>
      </c>
    </row>
    <row r="986" spans="8:8" x14ac:dyDescent="0.2">
      <c r="H986" s="9" t="str">
        <v/>
      </c>
    </row>
    <row r="987" spans="8:8" x14ac:dyDescent="0.2">
      <c r="H987" s="9" t="str">
        <v/>
      </c>
    </row>
    <row r="988" spans="8:8" x14ac:dyDescent="0.2">
      <c r="H988" s="9" t="str">
        <v/>
      </c>
    </row>
    <row r="989" spans="8:8" x14ac:dyDescent="0.2">
      <c r="H989" s="9" t="str">
        <v/>
      </c>
    </row>
    <row r="990" spans="8:8" x14ac:dyDescent="0.2">
      <c r="H990" s="9" t="str">
        <v/>
      </c>
    </row>
    <row r="991" spans="8:8" x14ac:dyDescent="0.2">
      <c r="H991" s="9" t="str">
        <v/>
      </c>
    </row>
    <row r="992" spans="8:8" x14ac:dyDescent="0.2">
      <c r="H992" s="9" t="str">
        <v/>
      </c>
    </row>
    <row r="993" spans="8:8" x14ac:dyDescent="0.2">
      <c r="H993" s="9" t="str">
        <v/>
      </c>
    </row>
    <row r="994" spans="8:8" x14ac:dyDescent="0.2">
      <c r="H994" s="9" t="str">
        <v/>
      </c>
    </row>
    <row r="995" spans="8:8" x14ac:dyDescent="0.2">
      <c r="H995" s="9" t="str">
        <v/>
      </c>
    </row>
    <row r="996" spans="8:8" x14ac:dyDescent="0.2">
      <c r="H996" s="9" t="str">
        <v/>
      </c>
    </row>
    <row r="997" spans="8:8" x14ac:dyDescent="0.2">
      <c r="H997" s="9" t="str">
        <v/>
      </c>
    </row>
    <row r="998" spans="8:8" x14ac:dyDescent="0.2">
      <c r="H998" s="9" t="str">
        <v/>
      </c>
    </row>
    <row r="999" spans="8:8" x14ac:dyDescent="0.2">
      <c r="H999" s="9" t="str">
        <v/>
      </c>
    </row>
    <row r="1000" spans="8:8" x14ac:dyDescent="0.2">
      <c r="H1000" s="9" t="str">
        <v/>
      </c>
    </row>
    <row r="1001" spans="8:8" x14ac:dyDescent="0.2">
      <c r="H1001" s="9" t="str">
        <v/>
      </c>
    </row>
    <row r="1002" spans="8:8" x14ac:dyDescent="0.2">
      <c r="H1002" s="9" t="str">
        <v/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 de vendas</vt:lpstr>
      <vt:lpstr>Base de faturamento</vt:lpstr>
      <vt:lpstr>Dados</vt:lpstr>
      <vt:lpstr>Dashboard</vt:lpstr>
      <vt:lpstr>Fórmulas de Apoio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TALLES SANTANA FRAGA</cp:lastModifiedBy>
  <dcterms:created xsi:type="dcterms:W3CDTF">2026-06-06T14:36:14Z</dcterms:created>
  <dcterms:modified xsi:type="dcterms:W3CDTF">2026-06-06T14:36:15Z</dcterms:modified>
</cp:coreProperties>
</file>